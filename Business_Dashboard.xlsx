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Holdings &amp; Trading" sheetId="1" state="visible" r:id="rId1"/>
    <sheet name="Eqaaz Islamic Sch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USD&quot;"/>
    <numFmt numFmtId="165" formatCode="#,##0.00 &quot;PKR&quot;"/>
  </numFmts>
  <fonts count="17">
    <font>
      <name val="Calibri"/>
      <family val="2"/>
      <color theme="1"/>
      <sz val="11"/>
      <scheme val="minor"/>
    </font>
    <font>
      <name val="Calibri"/>
      <b val="1"/>
      <color rgb="00D4AF37"/>
      <sz val="16"/>
    </font>
    <font>
      <name val="Calibri"/>
      <i val="1"/>
      <color rgb="00FFFFFF"/>
      <sz val="10"/>
    </font>
    <font>
      <name val="Calibri"/>
      <b val="1"/>
      <color rgb="00D4AF37"/>
      <sz val="12"/>
    </font>
    <font>
      <name val="Calibri"/>
      <b val="1"/>
      <color rgb="000D1B2A"/>
      <sz val="9"/>
    </font>
    <font>
      <name val="Calibri"/>
      <b val="1"/>
      <color rgb="00000000"/>
      <sz val="10"/>
    </font>
    <font>
      <name val="Calibri"/>
      <b val="1"/>
      <color rgb="00D4AF37"/>
      <sz val="10"/>
    </font>
    <font>
      <name val="Calibri"/>
      <i val="1"/>
      <color rgb="00000000"/>
      <sz val="9"/>
    </font>
    <font>
      <name val="Calibri"/>
      <b val="1"/>
      <color rgb="00FFFFFF"/>
      <sz val="10"/>
    </font>
    <font>
      <name val="Calibri"/>
      <i val="1"/>
      <color rgb="007D4E00"/>
      <sz val="9"/>
    </font>
    <font>
      <name val="Calibri"/>
      <b val="1"/>
      <color rgb="00C8A951"/>
      <sz val="16"/>
    </font>
    <font>
      <name val="Calibri"/>
      <b val="1"/>
      <color rgb="00C8A951"/>
      <sz val="12"/>
    </font>
    <font>
      <name val="Calibri"/>
      <b val="1"/>
      <color rgb="00064635"/>
      <sz val="9"/>
    </font>
    <font>
      <name val="Calibri"/>
      <b val="1"/>
      <color rgb="00C8A951"/>
      <sz val="10"/>
    </font>
    <font>
      <name val="Calibri"/>
      <i val="1"/>
      <color rgb="00000000"/>
      <sz val="10"/>
    </font>
    <font>
      <name val="Calibri"/>
      <b val="1"/>
      <color rgb="005D4000"/>
      <sz val="10"/>
    </font>
    <font>
      <name val="Calibri"/>
      <i val="1"/>
      <color rgb="00064635"/>
      <sz val="10"/>
    </font>
  </fonts>
  <fills count="2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E45"/>
      </patternFill>
    </fill>
    <fill>
      <patternFill patternType="solid">
        <fgColor rgb="00D4AF37"/>
      </patternFill>
    </fill>
    <fill>
      <patternFill patternType="solid">
        <fgColor rgb="00E8F1FA"/>
      </patternFill>
    </fill>
    <fill>
      <patternFill patternType="solid">
        <fgColor rgb="00FFFFFF"/>
      </patternFill>
    </fill>
    <fill>
      <patternFill patternType="solid">
        <fgColor rgb="00FFC107"/>
      </patternFill>
    </fill>
    <fill>
      <patternFill patternType="solid">
        <fgColor rgb="00DC3545"/>
      </patternFill>
    </fill>
    <fill>
      <patternFill patternType="solid">
        <fgColor rgb="004472C4"/>
      </patternFill>
    </fill>
    <fill>
      <patternFill patternType="solid">
        <fgColor rgb="0028A745"/>
      </patternFill>
    </fill>
    <fill>
      <patternFill patternType="solid">
        <fgColor rgb="00FFF3CD"/>
      </patternFill>
    </fill>
    <fill>
      <patternFill patternType="solid">
        <fgColor rgb="00064635"/>
      </patternFill>
    </fill>
    <fill>
      <patternFill patternType="solid">
        <fgColor rgb="000A6645"/>
      </patternFill>
    </fill>
    <fill>
      <patternFill patternType="solid">
        <fgColor rgb="00C8A951"/>
      </patternFill>
    </fill>
    <fill>
      <patternFill patternType="solid">
        <fgColor rgb="00EAF5EF"/>
      </patternFill>
    </fill>
    <fill>
      <patternFill patternType="solid">
        <fgColor rgb="001A6635"/>
      </patternFill>
    </fill>
    <fill>
      <patternFill patternType="solid">
        <fgColor rgb="00F39C12"/>
      </patternFill>
    </fill>
    <fill>
      <patternFill patternType="solid">
        <fgColor rgb="00C0392B"/>
      </patternFill>
    </fill>
    <fill>
      <patternFill patternType="solid">
        <fgColor rgb="000A7A50"/>
      </patternFill>
    </fill>
    <fill>
      <patternFill patternType="solid">
        <fgColor rgb="0017A363"/>
      </patternFill>
    </fill>
  </fills>
  <borders count="6">
    <border>
      <left/>
      <right/>
      <top/>
      <bottom/>
      <diagonal/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  <border>
      <left style="thin">
        <color rgb="008B7332"/>
      </left>
      <right style="thin">
        <color rgb="008B7332"/>
      </right>
      <top style="thin">
        <color rgb="008B7332"/>
      </top>
      <bottom style="thin">
        <color rgb="008B7332"/>
      </bottom>
    </border>
    <border>
      <left style="medium">
        <color rgb="00C8A951"/>
      </left>
      <right style="medium">
        <color rgb="00C8A951"/>
      </right>
      <top style="medium">
        <color rgb="00C8A951"/>
      </top>
      <bottom style="medium">
        <color rgb="00C8A951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2" pivotButton="0" quotePrefix="0" xfId="0"/>
    <xf numFmtId="0" fontId="0" fillId="5" borderId="2" pivotButton="0" quotePrefix="0" xfId="0"/>
    <xf numFmtId="164" fontId="0" fillId="5" borderId="2" pivotButton="0" quotePrefix="0" xfId="0"/>
    <xf numFmtId="165" fontId="0" fillId="5" borderId="2" pivotButton="0" quotePrefix="0" xfId="0"/>
    <xf numFmtId="4" fontId="0" fillId="5" borderId="2" pivotButton="0" quotePrefix="0" xfId="0"/>
    <xf numFmtId="10" fontId="0" fillId="5" borderId="2" pivotButton="0" quotePrefix="0" xfId="0"/>
    <xf numFmtId="0" fontId="5" fillId="6" borderId="2" pivotButton="0" quotePrefix="0" xfId="0"/>
    <xf numFmtId="0" fontId="0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4" fontId="0" fillId="6" borderId="2" pivotButton="0" quotePrefix="0" xfId="0"/>
    <xf numFmtId="10" fontId="0" fillId="6" borderId="2" pivotButton="0" quotePrefix="0" xfId="0"/>
    <xf numFmtId="0" fontId="6" fillId="2" borderId="3" applyAlignment="1" pivotButton="0" quotePrefix="0" xfId="0">
      <alignment horizontal="center" vertical="center"/>
    </xf>
    <xf numFmtId="164" fontId="6" fillId="2" borderId="3" pivotButton="0" quotePrefix="0" xfId="0"/>
    <xf numFmtId="165" fontId="6" fillId="2" borderId="3" pivotButton="0" quotePrefix="0" xfId="0"/>
    <xf numFmtId="0" fontId="0" fillId="2" borderId="3" pivotButton="0" quotePrefix="0" xfId="0"/>
    <xf numFmtId="0" fontId="7" fillId="5" borderId="2" pivotButton="0" quotePrefix="0" xfId="0"/>
    <xf numFmtId="165" fontId="8" fillId="3" borderId="2" pivotButton="0" quotePrefix="0" xfId="0"/>
    <xf numFmtId="0" fontId="7" fillId="6" borderId="2" pivotButton="0" quotePrefix="0" xfId="0"/>
    <xf numFmtId="164" fontId="8" fillId="3" borderId="2" pivotButton="0" quotePrefix="0" xfId="0"/>
    <xf numFmtId="0" fontId="0" fillId="6" borderId="0" pivotButton="0" quotePrefix="0" xfId="0"/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1" fillId="13" borderId="0" applyAlignment="1" pivotButton="0" quotePrefix="0" xfId="0">
      <alignment horizontal="left" vertical="center"/>
    </xf>
    <xf numFmtId="0" fontId="12" fillId="14" borderId="4" applyAlignment="1" pivotButton="0" quotePrefix="0" xfId="0">
      <alignment horizontal="center" vertical="center" wrapText="1"/>
    </xf>
    <xf numFmtId="0" fontId="5" fillId="15" borderId="2" pivotButton="0" quotePrefix="0" xfId="0"/>
    <xf numFmtId="0" fontId="7" fillId="15" borderId="2" pivotButton="0" quotePrefix="0" xfId="0"/>
    <xf numFmtId="165" fontId="0" fillId="15" borderId="2" pivotButton="0" quotePrefix="0" xfId="0"/>
    <xf numFmtId="165" fontId="8" fillId="13" borderId="2" pivotButton="0" quotePrefix="0" xfId="0"/>
    <xf numFmtId="0" fontId="13" fillId="12" borderId="5" applyAlignment="1" pivotButton="0" quotePrefix="0" xfId="0">
      <alignment horizontal="center" vertical="center"/>
    </xf>
    <xf numFmtId="165" fontId="13" fillId="12" borderId="5" pivotButton="0" quotePrefix="0" xfId="0"/>
    <xf numFmtId="0" fontId="8" fillId="16" borderId="5" applyAlignment="1" pivotButton="0" quotePrefix="0" xfId="0">
      <alignment horizontal="center" vertical="center"/>
    </xf>
    <xf numFmtId="165" fontId="8" fillId="16" borderId="5" pivotButton="0" quotePrefix="0" xfId="0"/>
    <xf numFmtId="4" fontId="0" fillId="15" borderId="2" pivotButton="0" quotePrefix="0" xfId="0"/>
    <xf numFmtId="4" fontId="8" fillId="13" borderId="2" pivotButton="0" quotePrefix="0" xfId="0"/>
    <xf numFmtId="0" fontId="0" fillId="15" borderId="2" pivotButton="0" quotePrefix="0" xfId="0"/>
    <xf numFmtId="0" fontId="0" fillId="12" borderId="5" pivotButton="0" quotePrefix="0" xfId="0"/>
    <xf numFmtId="0" fontId="8" fillId="17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center" vertical="center"/>
    </xf>
    <xf numFmtId="0" fontId="14" fillId="15" borderId="2" pivotButton="0" quotePrefix="0" xfId="0"/>
    <xf numFmtId="0" fontId="15" fillId="7" borderId="2" applyAlignment="1" pivotButton="0" quotePrefix="0" xfId="0">
      <alignment horizontal="center" vertical="center"/>
    </xf>
    <xf numFmtId="0" fontId="14" fillId="6" borderId="2" pivotButton="0" quotePrefix="0" xfId="0"/>
    <xf numFmtId="0" fontId="16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40" customHeight="1">
      <c r="A1" s="1" t="inlineStr">
        <is>
          <t>🪙  CRYPTO HOLDINGS &amp; TRADING  |  SHARIA-COMPLIANT  |  STABLE COINS ONLY</t>
        </is>
      </c>
    </row>
    <row r="2" ht="22" customHeight="1">
      <c r="A2" s="2" t="inlineStr">
        <is>
          <t>Business Intelligence Dashboard  |  Prepared: 19 April 2026</t>
        </is>
      </c>
    </row>
    <row r="3" ht="18" customHeight="1">
      <c r="A3" s="3" t="inlineStr"/>
    </row>
    <row r="5" ht="24" customHeight="1">
      <c r="A5" s="4" t="inlineStr">
        <is>
          <t>SECTION A  ─  STABLE-COIN PORTFOLIO TRACKER</t>
        </is>
      </c>
    </row>
    <row r="6" ht="32" customHeight="1">
      <c r="A6" s="5" t="inlineStr">
        <is>
          <t>Coin / Wallet</t>
        </is>
      </c>
      <c r="B6" s="5" t="inlineStr">
        <is>
          <t>Exchange / Platform</t>
        </is>
      </c>
      <c r="C6" s="5" t="inlineStr">
        <is>
          <t>Opening Balance (USD)</t>
        </is>
      </c>
      <c r="D6" s="5" t="inlineStr">
        <is>
          <t>Purchases (USD)</t>
        </is>
      </c>
      <c r="E6" s="5" t="inlineStr">
        <is>
          <t>Sales / Withdrawals (USD)</t>
        </is>
      </c>
      <c r="F6" s="5" t="inlineStr">
        <is>
          <t>Fees Paid (USD)</t>
        </is>
      </c>
      <c r="G6" s="5" t="inlineStr">
        <is>
          <t>Profit/Gain (USD)</t>
        </is>
      </c>
      <c r="H6" s="5" t="inlineStr">
        <is>
          <t>Closing Balance (USD)</t>
        </is>
      </c>
      <c r="I6" s="5" t="inlineStr">
        <is>
          <t>PKR Equivalent</t>
        </is>
      </c>
      <c r="J6" s="5" t="inlineStr">
        <is>
          <t>Exchange Rate (PKR/USD)</t>
        </is>
      </c>
      <c r="K6" s="5" t="inlineStr">
        <is>
          <t>% of Portfolio</t>
        </is>
      </c>
      <c r="L6" s="5" t="inlineStr">
        <is>
          <t>Notes</t>
        </is>
      </c>
    </row>
    <row r="7">
      <c r="A7" s="6" t="inlineStr">
        <is>
          <t>USDT (Tether)</t>
        </is>
      </c>
      <c r="B7" s="7" t="inlineStr"/>
      <c r="C7" s="8" t="n">
        <v>0</v>
      </c>
      <c r="D7" s="8" t="n">
        <v>0</v>
      </c>
      <c r="E7" s="8" t="n">
        <v>0</v>
      </c>
      <c r="F7" s="8" t="n">
        <v>0</v>
      </c>
      <c r="G7" s="8">
        <f>H7-C7-D7+E7-F7</f>
        <v/>
      </c>
      <c r="H7" s="8" t="n">
        <v>0</v>
      </c>
      <c r="I7" s="9">
        <f>H7*J7</f>
        <v/>
      </c>
      <c r="J7" s="10" t="n">
        <v>278</v>
      </c>
      <c r="K7" s="11" t="n"/>
      <c r="L7" s="7" t="inlineStr"/>
    </row>
    <row r="8">
      <c r="A8" s="12" t="inlineStr">
        <is>
          <t>USDC (USD Coin)</t>
        </is>
      </c>
      <c r="B8" s="13" t="inlineStr"/>
      <c r="C8" s="14" t="n">
        <v>0</v>
      </c>
      <c r="D8" s="14" t="n">
        <v>0</v>
      </c>
      <c r="E8" s="14" t="n">
        <v>0</v>
      </c>
      <c r="F8" s="14" t="n">
        <v>0</v>
      </c>
      <c r="G8" s="14">
        <f>H8-C8-D8+E8-F8</f>
        <v/>
      </c>
      <c r="H8" s="14" t="n">
        <v>0</v>
      </c>
      <c r="I8" s="15">
        <f>H8*J8</f>
        <v/>
      </c>
      <c r="J8" s="16" t="n">
        <v>278</v>
      </c>
      <c r="K8" s="17" t="n"/>
      <c r="L8" s="13" t="inlineStr"/>
    </row>
    <row r="9">
      <c r="A9" s="6" t="inlineStr">
        <is>
          <t>BUSD / TUSD</t>
        </is>
      </c>
      <c r="B9" s="7" t="inlineStr"/>
      <c r="C9" s="8" t="n">
        <v>0</v>
      </c>
      <c r="D9" s="8" t="n">
        <v>0</v>
      </c>
      <c r="E9" s="8" t="n">
        <v>0</v>
      </c>
      <c r="F9" s="8" t="n">
        <v>0</v>
      </c>
      <c r="G9" s="8">
        <f>H9-C9-D9+E9-F9</f>
        <v/>
      </c>
      <c r="H9" s="8" t="n">
        <v>0</v>
      </c>
      <c r="I9" s="9">
        <f>H9*J9</f>
        <v/>
      </c>
      <c r="J9" s="10" t="n">
        <v>278</v>
      </c>
      <c r="K9" s="11" t="n"/>
      <c r="L9" s="7" t="inlineStr"/>
    </row>
    <row r="10">
      <c r="A10" s="12" t="inlineStr">
        <is>
          <t>DAI</t>
        </is>
      </c>
      <c r="B10" s="13" t="inlineStr"/>
      <c r="C10" s="14" t="n">
        <v>0</v>
      </c>
      <c r="D10" s="14" t="n">
        <v>0</v>
      </c>
      <c r="E10" s="14" t="n">
        <v>0</v>
      </c>
      <c r="F10" s="14" t="n">
        <v>0</v>
      </c>
      <c r="G10" s="14">
        <f>H10-C10-D10+E10-F10</f>
        <v/>
      </c>
      <c r="H10" s="14" t="n">
        <v>0</v>
      </c>
      <c r="I10" s="15">
        <f>H10*J10</f>
        <v/>
      </c>
      <c r="J10" s="16" t="n">
        <v>278</v>
      </c>
      <c r="K10" s="17" t="n"/>
      <c r="L10" s="13" t="inlineStr"/>
    </row>
    <row r="11">
      <c r="A11" s="6" t="inlineStr">
        <is>
          <t>Other Stable Coin 1</t>
        </is>
      </c>
      <c r="B11" s="7" t="inlineStr"/>
      <c r="C11" s="8" t="n">
        <v>0</v>
      </c>
      <c r="D11" s="8" t="n">
        <v>0</v>
      </c>
      <c r="E11" s="8" t="n">
        <v>0</v>
      </c>
      <c r="F11" s="8" t="n">
        <v>0</v>
      </c>
      <c r="G11" s="8">
        <f>H11-C11-D11+E11-F11</f>
        <v/>
      </c>
      <c r="H11" s="8" t="n">
        <v>0</v>
      </c>
      <c r="I11" s="9">
        <f>H11*J11</f>
        <v/>
      </c>
      <c r="J11" s="10" t="n">
        <v>278</v>
      </c>
      <c r="K11" s="11" t="n"/>
      <c r="L11" s="7" t="inlineStr"/>
    </row>
    <row r="12">
      <c r="A12" s="12" t="inlineStr">
        <is>
          <t>Other Stable Coin 2</t>
        </is>
      </c>
      <c r="B12" s="13" t="inlineStr"/>
      <c r="C12" s="14" t="n">
        <v>0</v>
      </c>
      <c r="D12" s="14" t="n">
        <v>0</v>
      </c>
      <c r="E12" s="14" t="n">
        <v>0</v>
      </c>
      <c r="F12" s="14" t="n">
        <v>0</v>
      </c>
      <c r="G12" s="14">
        <f>H12-C12-D12+E12-F12</f>
        <v/>
      </c>
      <c r="H12" s="14" t="n">
        <v>0</v>
      </c>
      <c r="I12" s="15">
        <f>H12*J12</f>
        <v/>
      </c>
      <c r="J12" s="16" t="n">
        <v>278</v>
      </c>
      <c r="K12" s="17" t="n"/>
      <c r="L12" s="13" t="inlineStr"/>
    </row>
    <row r="13">
      <c r="A13" s="18" t="inlineStr">
        <is>
          <t>TOTAL PORTFOLIO</t>
        </is>
      </c>
      <c r="C13" s="19">
        <f>SUM(C7:C12)</f>
        <v/>
      </c>
      <c r="D13" s="19">
        <f>SUM(D7:D12)</f>
        <v/>
      </c>
      <c r="E13" s="19">
        <f>SUM(E7:E12)</f>
        <v/>
      </c>
      <c r="F13" s="19">
        <f>SUM(F7:F12)</f>
        <v/>
      </c>
      <c r="G13" s="19">
        <f>SUM(G7:G12)</f>
        <v/>
      </c>
      <c r="H13" s="19">
        <f>SUM(H7:H12)</f>
        <v/>
      </c>
      <c r="I13" s="20">
        <f>SUM(I7:I12)</f>
        <v/>
      </c>
      <c r="J13" s="21" t="n"/>
      <c r="K13" s="21" t="n"/>
      <c r="L13" s="21" t="n"/>
    </row>
    <row r="15" ht="24" customHeight="1">
      <c r="A15" s="4" t="inlineStr">
        <is>
          <t>SECTION B  ─  MONTHLY EXPENSE TRACKER</t>
        </is>
      </c>
    </row>
    <row r="16" ht="28" customHeight="1">
      <c r="A16" s="5" t="inlineStr">
        <is>
          <t>Expense Category</t>
        </is>
      </c>
      <c r="B16" s="5" t="inlineStr">
        <is>
          <t>Description</t>
        </is>
      </c>
      <c r="C16" s="5" t="inlineStr">
        <is>
          <t>Jan</t>
        </is>
      </c>
      <c r="D16" s="5" t="inlineStr">
        <is>
          <t>Feb</t>
        </is>
      </c>
      <c r="E16" s="5" t="inlineStr">
        <is>
          <t>Mar</t>
        </is>
      </c>
      <c r="F16" s="5" t="inlineStr">
        <is>
          <t>Apr</t>
        </is>
      </c>
      <c r="G16" s="5" t="inlineStr">
        <is>
          <t>May</t>
        </is>
      </c>
      <c r="H16" s="5" t="inlineStr">
        <is>
          <t>Jun</t>
        </is>
      </c>
      <c r="I16" s="5" t="inlineStr">
        <is>
          <t>Jul</t>
        </is>
      </c>
      <c r="J16" s="5" t="inlineStr">
        <is>
          <t>Aug</t>
        </is>
      </c>
      <c r="K16" s="5" t="inlineStr">
        <is>
          <t>Sep</t>
        </is>
      </c>
      <c r="L16" s="5" t="inlineStr">
        <is>
          <t>Oct</t>
        </is>
      </c>
      <c r="M16" s="5" t="inlineStr">
        <is>
          <t>Nov</t>
        </is>
      </c>
      <c r="N16" s="5" t="inlineStr">
        <is>
          <t>Dec</t>
        </is>
      </c>
      <c r="O16" s="5" t="inlineStr">
        <is>
          <t>ANNUAL TOTAL</t>
        </is>
      </c>
    </row>
    <row r="17">
      <c r="A17" s="6" t="inlineStr">
        <is>
          <t>Platform Fees</t>
        </is>
      </c>
      <c r="B17" s="22" t="inlineStr">
        <is>
          <t>Exchange / withdrawal fees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23">
        <f>SUM(C17:N17)</f>
        <v/>
      </c>
    </row>
    <row r="18">
      <c r="A18" s="12" t="inlineStr">
        <is>
          <t>Blockchain Gas Fees</t>
        </is>
      </c>
      <c r="B18" s="24" t="inlineStr">
        <is>
          <t>On-chain transaction costs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23">
        <f>SUM(C18:N18)</f>
        <v/>
      </c>
    </row>
    <row r="19">
      <c r="A19" s="6" t="inlineStr">
        <is>
          <t>Software &amp; Tools</t>
        </is>
      </c>
      <c r="B19" s="22" t="inlineStr">
        <is>
          <t>Portfolio trackers, analytics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23">
        <f>SUM(C19:N19)</f>
        <v/>
      </c>
    </row>
    <row r="20">
      <c r="A20" s="12" t="inlineStr">
        <is>
          <t>Regulatory / Legal</t>
        </is>
      </c>
      <c r="B20" s="24" t="inlineStr">
        <is>
          <t>Compliance, KYC costs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0</v>
      </c>
      <c r="O20" s="23">
        <f>SUM(C20:N20)</f>
        <v/>
      </c>
    </row>
    <row r="21">
      <c r="A21" s="6" t="inlineStr">
        <is>
          <t>Banking Charges</t>
        </is>
      </c>
      <c r="B21" s="22" t="inlineStr">
        <is>
          <t>Wire transfers, bank fees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23">
        <f>SUM(C21:N21)</f>
        <v/>
      </c>
    </row>
    <row r="22">
      <c r="A22" s="12" t="inlineStr">
        <is>
          <t>Office / Admin</t>
        </is>
      </c>
      <c r="B22" s="24" t="inlineStr">
        <is>
          <t>Stationery, printing etc.</t>
        </is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23">
        <f>SUM(C22:N22)</f>
        <v/>
      </c>
    </row>
    <row r="23">
      <c r="A23" s="6" t="inlineStr">
        <is>
          <t>Zakat Provision</t>
        </is>
      </c>
      <c r="B23" s="22" t="inlineStr">
        <is>
          <t>2.5% of nisab-eligible holdings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23">
        <f>SUM(C23:N23)</f>
        <v/>
      </c>
    </row>
    <row r="24">
      <c r="A24" s="12" t="inlineStr">
        <is>
          <t>Miscellaneous</t>
        </is>
      </c>
      <c r="B24" s="24" t="inlineStr">
        <is>
          <t>Other unanticipated costs</t>
        </is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23">
        <f>SUM(C24:N24)</f>
        <v/>
      </c>
    </row>
    <row r="25">
      <c r="A25" s="18" t="inlineStr">
        <is>
          <t>MONTHLY TOTAL</t>
        </is>
      </c>
      <c r="C25" s="20">
        <f>SUM(C17:C24)</f>
        <v/>
      </c>
      <c r="D25" s="20">
        <f>SUM(D17:D24)</f>
        <v/>
      </c>
      <c r="E25" s="20">
        <f>SUM(E17:E24)</f>
        <v/>
      </c>
      <c r="F25" s="20">
        <f>SUM(F17:F24)</f>
        <v/>
      </c>
      <c r="G25" s="20">
        <f>SUM(G17:G24)</f>
        <v/>
      </c>
      <c r="H25" s="20">
        <f>SUM(H17:H24)</f>
        <v/>
      </c>
      <c r="I25" s="20">
        <f>SUM(I17:I24)</f>
        <v/>
      </c>
      <c r="J25" s="20">
        <f>SUM(J17:J24)</f>
        <v/>
      </c>
      <c r="K25" s="20">
        <f>SUM(K17:K24)</f>
        <v/>
      </c>
      <c r="L25" s="20">
        <f>SUM(L17:L24)</f>
        <v/>
      </c>
      <c r="M25" s="20">
        <f>SUM(M17:M24)</f>
        <v/>
      </c>
      <c r="N25" s="20">
        <f>SUM(N17:N24)</f>
        <v/>
      </c>
      <c r="O25" s="20">
        <f>SUM(O17:O24)</f>
        <v/>
      </c>
    </row>
    <row r="27" ht="24" customHeight="1">
      <c r="A27" s="4" t="inlineStr">
        <is>
          <t>SECTION C  ─  6-MONTH BUSINESS PROJECTION  (Apr 2026 – Sep 2026)</t>
        </is>
      </c>
    </row>
    <row r="28" ht="28" customHeight="1">
      <c r="A28" s="5" t="inlineStr">
        <is>
          <t>Item</t>
        </is>
      </c>
      <c r="B28" s="5" t="inlineStr">
        <is>
          <t>Metric</t>
        </is>
      </c>
      <c r="C28" s="5" t="inlineStr">
        <is>
          <t>Apr 2026</t>
        </is>
      </c>
      <c r="D28" s="5" t="inlineStr">
        <is>
          <t>May 2026</t>
        </is>
      </c>
      <c r="E28" s="5" t="inlineStr">
        <is>
          <t>Jun 2026</t>
        </is>
      </c>
      <c r="F28" s="5" t="inlineStr">
        <is>
          <t>Jul 2026</t>
        </is>
      </c>
      <c r="G28" s="5" t="inlineStr">
        <is>
          <t>Aug 2026</t>
        </is>
      </c>
      <c r="H28" s="5" t="inlineStr">
        <is>
          <t>Sep 2026</t>
        </is>
      </c>
      <c r="I28" s="5" t="inlineStr">
        <is>
          <t>6-Mo TOTAL</t>
        </is>
      </c>
      <c r="J28" s="5" t="inlineStr">
        <is>
          <t>Trend / Notes</t>
        </is>
      </c>
    </row>
    <row r="29">
      <c r="A29" s="6" t="inlineStr">
        <is>
          <t>Total Portfolio Value (USD)</t>
        </is>
      </c>
      <c r="B29" s="22" t="inlineStr">
        <is>
          <t>End-of-month balance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25">
        <f>SUM(C29:H29)</f>
        <v/>
      </c>
      <c r="J29" s="7" t="inlineStr"/>
      <c r="K29" s="7" t="inlineStr"/>
      <c r="L29" s="7" t="inlineStr"/>
      <c r="M29" s="7" t="inlineStr"/>
      <c r="N29" s="7" t="inlineStr"/>
      <c r="O29" s="7" t="inlineStr"/>
    </row>
    <row r="30">
      <c r="A30" s="12" t="inlineStr">
        <is>
          <t>Total Portfolio Value (PKR)</t>
        </is>
      </c>
      <c r="B30" s="24" t="inlineStr">
        <is>
          <t>At prevailing rate</t>
        </is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23">
        <f>SUM(C30:H30)</f>
        <v/>
      </c>
      <c r="J30" s="13" t="inlineStr"/>
      <c r="K30" s="13" t="inlineStr"/>
      <c r="L30" s="13" t="inlineStr"/>
      <c r="M30" s="13" t="inlineStr"/>
      <c r="N30" s="13" t="inlineStr"/>
      <c r="O30" s="13" t="inlineStr"/>
    </row>
    <row r="31">
      <c r="A31" s="6" t="inlineStr">
        <is>
          <t>New Purchases (USD)</t>
        </is>
      </c>
      <c r="B31" s="22" t="inlineStr">
        <is>
          <t>Capital deployed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25">
        <f>SUM(C31:H31)</f>
        <v/>
      </c>
      <c r="J31" s="7" t="inlineStr"/>
      <c r="K31" s="7" t="inlineStr"/>
      <c r="L31" s="7" t="inlineStr"/>
      <c r="M31" s="7" t="inlineStr"/>
      <c r="N31" s="7" t="inlineStr"/>
      <c r="O31" s="7" t="inlineStr"/>
    </row>
    <row r="32">
      <c r="A32" s="12" t="inlineStr">
        <is>
          <t>Realized Gains (USD)</t>
        </is>
      </c>
      <c r="B32" s="24" t="inlineStr">
        <is>
          <t>Closed profitable positions</t>
        </is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25">
        <f>SUM(C32:H32)</f>
        <v/>
      </c>
      <c r="J32" s="13" t="inlineStr"/>
      <c r="K32" s="13" t="inlineStr"/>
      <c r="L32" s="13" t="inlineStr"/>
      <c r="M32" s="13" t="inlineStr"/>
      <c r="N32" s="13" t="inlineStr"/>
      <c r="O32" s="13" t="inlineStr"/>
    </row>
    <row r="33">
      <c r="A33" s="6" t="inlineStr">
        <is>
          <t>Unrealized Gains (USD)</t>
        </is>
      </c>
      <c r="B33" s="22" t="inlineStr">
        <is>
          <t>Marked-to-market gain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25">
        <f>SUM(C33:H33)</f>
        <v/>
      </c>
      <c r="J33" s="7" t="inlineStr"/>
      <c r="K33" s="7" t="inlineStr"/>
      <c r="L33" s="7" t="inlineStr"/>
      <c r="M33" s="7" t="inlineStr"/>
      <c r="N33" s="7" t="inlineStr"/>
      <c r="O33" s="7" t="inlineStr"/>
    </row>
    <row r="34">
      <c r="A34" s="12" t="inlineStr">
        <is>
          <t>Total Fees Incurred (USD)</t>
        </is>
      </c>
      <c r="B34" s="24" t="inlineStr">
        <is>
          <t>All platform &amp; chain fees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25">
        <f>SUM(C34:H34)</f>
        <v/>
      </c>
      <c r="J34" s="13" t="inlineStr"/>
      <c r="K34" s="13" t="inlineStr"/>
      <c r="L34" s="13" t="inlineStr"/>
      <c r="M34" s="13" t="inlineStr"/>
      <c r="N34" s="13" t="inlineStr"/>
      <c r="O34" s="13" t="inlineStr"/>
    </row>
    <row r="35">
      <c r="A35" s="6" t="inlineStr">
        <is>
          <t>Zakat Provision (PKR)</t>
        </is>
      </c>
      <c r="B35" s="22" t="inlineStr">
        <is>
          <t>Accrued 2.5% on holdings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23">
        <f>SUM(C35:H35)</f>
        <v/>
      </c>
      <c r="J35" s="7" t="inlineStr"/>
      <c r="K35" s="7" t="inlineStr"/>
      <c r="L35" s="7" t="inlineStr"/>
      <c r="M35" s="7" t="inlineStr"/>
      <c r="N35" s="7" t="inlineStr"/>
      <c r="O35" s="7" t="inlineStr"/>
    </row>
    <row r="36">
      <c r="A36" s="12" t="inlineStr">
        <is>
          <t>Net Portfolio Growth (USD)</t>
        </is>
      </c>
      <c r="B36" s="24" t="inlineStr">
        <is>
          <t>Gains minus fees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25">
        <f>SUM(C36:H36)</f>
        <v/>
      </c>
      <c r="J36" s="13" t="inlineStr"/>
      <c r="K36" s="13" t="inlineStr"/>
      <c r="L36" s="13" t="inlineStr"/>
      <c r="M36" s="13" t="inlineStr"/>
      <c r="N36" s="13" t="inlineStr"/>
      <c r="O36" s="13" t="inlineStr"/>
    </row>
    <row r="37">
      <c r="A37" s="6" t="inlineStr">
        <is>
          <t>USDT Allocation (%)</t>
        </is>
      </c>
      <c r="B37" s="22" t="inlineStr">
        <is>
          <t>% of portfolio</t>
        </is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25">
        <f>AVERAGE(C37:H37)</f>
        <v/>
      </c>
      <c r="J37" s="7" t="inlineStr"/>
      <c r="K37" s="7" t="inlineStr"/>
      <c r="L37" s="7" t="inlineStr"/>
      <c r="M37" s="7" t="inlineStr"/>
      <c r="N37" s="7" t="inlineStr"/>
      <c r="O37" s="7" t="inlineStr"/>
    </row>
    <row r="38">
      <c r="A38" s="12" t="inlineStr">
        <is>
          <t>USDC Allocation (%)</t>
        </is>
      </c>
      <c r="B38" s="24" t="inlineStr">
        <is>
          <t>% of portfolio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25">
        <f>AVERAGE(C38:H38)</f>
        <v/>
      </c>
      <c r="J38" s="13" t="inlineStr"/>
      <c r="K38" s="13" t="inlineStr"/>
      <c r="L38" s="13" t="inlineStr"/>
      <c r="M38" s="13" t="inlineStr"/>
      <c r="N38" s="13" t="inlineStr"/>
      <c r="O38" s="13" t="inlineStr"/>
    </row>
    <row r="39">
      <c r="A39" s="6" t="inlineStr">
        <is>
          <t>Cash Reserved (PKR)</t>
        </is>
      </c>
      <c r="B39" s="22" t="inlineStr">
        <is>
          <t>Fiat on hand / in bank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23">
        <f>SUM(C39:H39)</f>
        <v/>
      </c>
      <c r="J39" s="7" t="inlineStr"/>
      <c r="K39" s="7" t="inlineStr"/>
      <c r="L39" s="7" t="inlineStr"/>
      <c r="M39" s="7" t="inlineStr"/>
      <c r="N39" s="7" t="inlineStr"/>
      <c r="O39" s="7" t="inlineStr"/>
    </row>
    <row r="40">
      <c r="A40" s="12" t="inlineStr">
        <is>
          <t>Expected Expenses (PKR)</t>
        </is>
      </c>
      <c r="B40" s="24" t="inlineStr">
        <is>
          <t>Projected monthly costs</t>
        </is>
      </c>
      <c r="C40" s="15" t="n">
        <v>0</v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23">
        <f>SUM(C40:H40)</f>
        <v/>
      </c>
      <c r="J40" s="13" t="inlineStr"/>
      <c r="K40" s="13" t="inlineStr"/>
      <c r="L40" s="13" t="inlineStr"/>
      <c r="M40" s="13" t="inlineStr"/>
      <c r="N40" s="13" t="inlineStr"/>
      <c r="O40" s="13" t="inlineStr"/>
    </row>
    <row r="42" ht="24" customHeight="1">
      <c r="A42" s="4" t="inlineStr">
        <is>
          <t>SECTION D  ─  COSTING PROJECTION  (Per-Transaction &amp; Operational)</t>
        </is>
      </c>
    </row>
    <row r="43" ht="28" customHeight="1">
      <c r="A43" s="5" t="inlineStr">
        <is>
          <t>Cost Item</t>
        </is>
      </c>
      <c r="B43" s="5" t="inlineStr">
        <is>
          <t>Basis / Driver</t>
        </is>
      </c>
      <c r="C43" s="5" t="inlineStr">
        <is>
          <t>Unit Cost (USD)</t>
        </is>
      </c>
      <c r="D43" s="5" t="inlineStr">
        <is>
          <t>Est. Volume/Mo</t>
        </is>
      </c>
      <c r="E43" s="5" t="inlineStr">
        <is>
          <t>Monthly Cost (USD)</t>
        </is>
      </c>
      <c r="F43" s="5" t="inlineStr">
        <is>
          <t>Monthly Cost (PKR)</t>
        </is>
      </c>
      <c r="G43" s="5" t="inlineStr">
        <is>
          <t>6-Mo Projected (PKR)</t>
        </is>
      </c>
      <c r="H43" s="5" t="inlineStr">
        <is>
          <t>Notes</t>
        </is>
      </c>
    </row>
    <row r="44">
      <c r="A44" s="6" t="inlineStr">
        <is>
          <t>Exchange Transaction Fee</t>
        </is>
      </c>
      <c r="B44" s="22" t="inlineStr">
        <is>
          <t>Per trade (avg 0.1%)</t>
        </is>
      </c>
      <c r="C44" s="8" t="n">
        <v>0.001</v>
      </c>
      <c r="D44" s="10" t="n">
        <v>20</v>
      </c>
      <c r="E44" s="8">
        <f>C44*D44</f>
        <v/>
      </c>
      <c r="F44" s="9">
        <f>E44*278</f>
        <v/>
      </c>
      <c r="G44" s="9">
        <f>F44*6</f>
        <v/>
      </c>
      <c r="H44" s="7" t="inlineStr"/>
      <c r="I44" s="26" t="inlineStr"/>
      <c r="J44" s="26" t="inlineStr"/>
      <c r="K44" s="26" t="inlineStr"/>
      <c r="L44" s="26" t="inlineStr"/>
      <c r="M44" s="26" t="inlineStr"/>
      <c r="N44" s="26" t="inlineStr"/>
      <c r="O44" s="26" t="inlineStr"/>
    </row>
    <row r="45">
      <c r="A45" s="12" t="inlineStr">
        <is>
          <t>Blockchain Transfer Fee</t>
        </is>
      </c>
      <c r="B45" s="24" t="inlineStr">
        <is>
          <t>Per on-chain transfer</t>
        </is>
      </c>
      <c r="C45" s="14" t="n">
        <v>2.5</v>
      </c>
      <c r="D45" s="16" t="n">
        <v>15</v>
      </c>
      <c r="E45" s="14">
        <f>C45*D45</f>
        <v/>
      </c>
      <c r="F45" s="15">
        <f>E45*278</f>
        <v/>
      </c>
      <c r="G45" s="15">
        <f>F45*6</f>
        <v/>
      </c>
      <c r="H45" s="13" t="inlineStr"/>
      <c r="I45" s="26" t="inlineStr"/>
      <c r="J45" s="26" t="inlineStr"/>
      <c r="K45" s="26" t="inlineStr"/>
      <c r="L45" s="26" t="inlineStr"/>
      <c r="M45" s="26" t="inlineStr"/>
      <c r="N45" s="26" t="inlineStr"/>
      <c r="O45" s="26" t="inlineStr"/>
    </row>
    <row r="46">
      <c r="A46" s="6" t="inlineStr">
        <is>
          <t>Crypto Wallet Hosting</t>
        </is>
      </c>
      <c r="B46" s="22" t="inlineStr">
        <is>
          <t>Monthly subscription</t>
        </is>
      </c>
      <c r="C46" s="8" t="n">
        <v>5</v>
      </c>
      <c r="D46" s="10" t="n">
        <v>1</v>
      </c>
      <c r="E46" s="8">
        <f>C46*D46</f>
        <v/>
      </c>
      <c r="F46" s="9">
        <f>E46*278</f>
        <v/>
      </c>
      <c r="G46" s="9">
        <f>F46*6</f>
        <v/>
      </c>
      <c r="H46" s="7" t="inlineStr"/>
      <c r="I46" s="26" t="inlineStr"/>
      <c r="J46" s="26" t="inlineStr"/>
      <c r="K46" s="26" t="inlineStr"/>
      <c r="L46" s="26" t="inlineStr"/>
      <c r="M46" s="26" t="inlineStr"/>
      <c r="N46" s="26" t="inlineStr"/>
      <c r="O46" s="26" t="inlineStr"/>
    </row>
    <row r="47">
      <c r="A47" s="12" t="inlineStr">
        <is>
          <t>Portfolio Tracker Software</t>
        </is>
      </c>
      <c r="B47" s="24" t="inlineStr">
        <is>
          <t>Monthly SaaS</t>
        </is>
      </c>
      <c r="C47" s="14" t="n">
        <v>10</v>
      </c>
      <c r="D47" s="16" t="n">
        <v>1</v>
      </c>
      <c r="E47" s="14">
        <f>C47*D47</f>
        <v/>
      </c>
      <c r="F47" s="15">
        <f>E47*278</f>
        <v/>
      </c>
      <c r="G47" s="15">
        <f>F47*6</f>
        <v/>
      </c>
      <c r="H47" s="13" t="inlineStr"/>
      <c r="I47" s="26" t="inlineStr"/>
      <c r="J47" s="26" t="inlineStr"/>
      <c r="K47" s="26" t="inlineStr"/>
      <c r="L47" s="26" t="inlineStr"/>
      <c r="M47" s="26" t="inlineStr"/>
      <c r="N47" s="26" t="inlineStr"/>
      <c r="O47" s="26" t="inlineStr"/>
    </row>
    <row r="48">
      <c r="A48" s="6" t="inlineStr">
        <is>
          <t>KYC / Compliance Service</t>
        </is>
      </c>
      <c r="B48" s="22" t="inlineStr">
        <is>
          <t>Annual ÷ 12</t>
        </is>
      </c>
      <c r="C48" s="8" t="n">
        <v>20</v>
      </c>
      <c r="D48" s="10" t="n">
        <v>1</v>
      </c>
      <c r="E48" s="8">
        <f>C48*D48</f>
        <v/>
      </c>
      <c r="F48" s="9">
        <f>E48*278</f>
        <v/>
      </c>
      <c r="G48" s="9">
        <f>F48*6</f>
        <v/>
      </c>
      <c r="H48" s="7" t="inlineStr"/>
      <c r="I48" s="26" t="inlineStr"/>
      <c r="J48" s="26" t="inlineStr"/>
      <c r="K48" s="26" t="inlineStr"/>
      <c r="L48" s="26" t="inlineStr"/>
      <c r="M48" s="26" t="inlineStr"/>
      <c r="N48" s="26" t="inlineStr"/>
      <c r="O48" s="26" t="inlineStr"/>
    </row>
    <row r="49">
      <c r="A49" s="12" t="inlineStr">
        <is>
          <t>Accounting Software</t>
        </is>
      </c>
      <c r="B49" s="24" t="inlineStr">
        <is>
          <t>Monthly</t>
        </is>
      </c>
      <c r="C49" s="14" t="n">
        <v>15</v>
      </c>
      <c r="D49" s="16" t="n">
        <v>1</v>
      </c>
      <c r="E49" s="14">
        <f>C49*D49</f>
        <v/>
      </c>
      <c r="F49" s="15">
        <f>E49*278</f>
        <v/>
      </c>
      <c r="G49" s="15">
        <f>F49*6</f>
        <v/>
      </c>
      <c r="H49" s="13" t="inlineStr"/>
      <c r="I49" s="26" t="inlineStr"/>
      <c r="J49" s="26" t="inlineStr"/>
      <c r="K49" s="26" t="inlineStr"/>
      <c r="L49" s="26" t="inlineStr"/>
      <c r="M49" s="26" t="inlineStr"/>
      <c r="N49" s="26" t="inlineStr"/>
      <c r="O49" s="26" t="inlineStr"/>
    </row>
    <row r="50">
      <c r="A50" s="6" t="inlineStr">
        <is>
          <t>Legal / Advisory</t>
        </is>
      </c>
      <c r="B50" s="22" t="inlineStr">
        <is>
          <t>Quarterly estimate</t>
        </is>
      </c>
      <c r="C50" s="8" t="n">
        <v>50</v>
      </c>
      <c r="D50" s="10" t="n">
        <v>0.33</v>
      </c>
      <c r="E50" s="8">
        <f>C50*D50</f>
        <v/>
      </c>
      <c r="F50" s="9">
        <f>E50*278</f>
        <v/>
      </c>
      <c r="G50" s="9">
        <f>F50*6</f>
        <v/>
      </c>
      <c r="H50" s="7" t="inlineStr"/>
      <c r="I50" s="26" t="inlineStr"/>
      <c r="J50" s="26" t="inlineStr"/>
      <c r="K50" s="26" t="inlineStr"/>
      <c r="L50" s="26" t="inlineStr"/>
      <c r="M50" s="26" t="inlineStr"/>
      <c r="N50" s="26" t="inlineStr"/>
      <c r="O50" s="26" t="inlineStr"/>
    </row>
    <row r="51">
      <c r="A51" s="12" t="inlineStr">
        <is>
          <t>Internet / VPN</t>
        </is>
      </c>
      <c r="B51" s="24" t="inlineStr">
        <is>
          <t>Per-month shared cost</t>
        </is>
      </c>
      <c r="C51" s="14" t="n">
        <v>5</v>
      </c>
      <c r="D51" s="16" t="n">
        <v>1</v>
      </c>
      <c r="E51" s="14">
        <f>C51*D51</f>
        <v/>
      </c>
      <c r="F51" s="15">
        <f>E51*278</f>
        <v/>
      </c>
      <c r="G51" s="15">
        <f>F51*6</f>
        <v/>
      </c>
      <c r="H51" s="13" t="inlineStr"/>
      <c r="I51" s="26" t="inlineStr"/>
      <c r="J51" s="26" t="inlineStr"/>
      <c r="K51" s="26" t="inlineStr"/>
      <c r="L51" s="26" t="inlineStr"/>
      <c r="M51" s="26" t="inlineStr"/>
      <c r="N51" s="26" t="inlineStr"/>
      <c r="O51" s="26" t="inlineStr"/>
    </row>
    <row r="52">
      <c r="A52" s="6" t="inlineStr">
        <is>
          <t>Zakat Provision (USD eq.)</t>
        </is>
      </c>
      <c r="B52" s="22" t="inlineStr">
        <is>
          <t>2.5% ÷ 12 of holdings</t>
        </is>
      </c>
      <c r="C52" s="8" t="n">
        <v>0</v>
      </c>
      <c r="D52" s="10" t="n">
        <v>1</v>
      </c>
      <c r="E52" s="8">
        <f>C52*D52</f>
        <v/>
      </c>
      <c r="F52" s="9">
        <f>E52*278</f>
        <v/>
      </c>
      <c r="G52" s="9">
        <f>F52*6</f>
        <v/>
      </c>
      <c r="H52" s="7" t="inlineStr"/>
      <c r="I52" s="26" t="inlineStr"/>
      <c r="J52" s="26" t="inlineStr"/>
      <c r="K52" s="26" t="inlineStr"/>
      <c r="L52" s="26" t="inlineStr"/>
      <c r="M52" s="26" t="inlineStr"/>
      <c r="N52" s="26" t="inlineStr"/>
      <c r="O52" s="26" t="inlineStr"/>
    </row>
    <row r="53">
      <c r="A53" s="12" t="inlineStr">
        <is>
          <t>Miscellaneous</t>
        </is>
      </c>
      <c r="B53" s="24" t="inlineStr">
        <is>
          <t>Buffer 5% of above</t>
        </is>
      </c>
      <c r="C53" s="14" t="n">
        <v>0</v>
      </c>
      <c r="D53" s="16" t="n">
        <v>1</v>
      </c>
      <c r="E53" s="14">
        <f>C53*D53</f>
        <v/>
      </c>
      <c r="F53" s="15">
        <f>E53*278</f>
        <v/>
      </c>
      <c r="G53" s="15">
        <f>F53*6</f>
        <v/>
      </c>
      <c r="H53" s="13" t="inlineStr"/>
      <c r="I53" s="26" t="inlineStr"/>
      <c r="J53" s="26" t="inlineStr"/>
      <c r="K53" s="26" t="inlineStr"/>
      <c r="L53" s="26" t="inlineStr"/>
      <c r="M53" s="26" t="inlineStr"/>
      <c r="N53" s="26" t="inlineStr"/>
      <c r="O53" s="26" t="inlineStr"/>
    </row>
    <row r="54">
      <c r="A54" s="18" t="inlineStr">
        <is>
          <t>TOTAL MONTHLY COSTS</t>
        </is>
      </c>
      <c r="C54" s="19">
        <f>SUM(C44:C53)</f>
        <v/>
      </c>
      <c r="D54" s="21" t="n"/>
      <c r="E54" s="19">
        <f>SUM(E44:E53)</f>
        <v/>
      </c>
      <c r="F54" s="20">
        <f>SUM(F44:F53)</f>
        <v/>
      </c>
      <c r="G54" s="20">
        <f>SUM(G44:G53)</f>
        <v/>
      </c>
      <c r="H54" s="21" t="n"/>
    </row>
    <row r="56" ht="24" customHeight="1">
      <c r="A56" s="4" t="inlineStr">
        <is>
          <t>SECTION E  ─  RESOURCE REQUISITION PROJECTION  (Next 6 Months)</t>
        </is>
      </c>
    </row>
    <row r="57" ht="28" customHeight="1">
      <c r="A57" s="5" t="inlineStr">
        <is>
          <t>Resource / Item</t>
        </is>
      </c>
      <c r="B57" s="5" t="inlineStr">
        <is>
          <t>Category</t>
        </is>
      </c>
      <c r="C57" s="5" t="inlineStr">
        <is>
          <t>Quantity</t>
        </is>
      </c>
      <c r="D57" s="5" t="inlineStr">
        <is>
          <t>Unit</t>
        </is>
      </c>
      <c r="E57" s="5" t="inlineStr">
        <is>
          <t>Unit Cost (PKR)</t>
        </is>
      </c>
      <c r="F57" s="5" t="inlineStr">
        <is>
          <t>Total Cost (PKR)</t>
        </is>
      </c>
      <c r="G57" s="5" t="inlineStr">
        <is>
          <t>Required By</t>
        </is>
      </c>
      <c r="H57" s="5" t="inlineStr">
        <is>
          <t>Priority</t>
        </is>
      </c>
      <c r="I57" s="5" t="inlineStr">
        <is>
          <t>Vendor / Source</t>
        </is>
      </c>
      <c r="J57" s="5" t="inlineStr">
        <is>
          <t>Status</t>
        </is>
      </c>
      <c r="K57" s="5" t="inlineStr">
        <is>
          <t>Notes</t>
        </is>
      </c>
    </row>
    <row r="58">
      <c r="A58" s="6" t="inlineStr">
        <is>
          <t>High-speed Internet Upgrade</t>
        </is>
      </c>
      <c r="B58" s="7" t="inlineStr">
        <is>
          <t>Infrastructure</t>
        </is>
      </c>
      <c r="C58" s="10" t="n">
        <v>1</v>
      </c>
      <c r="D58" s="7" t="inlineStr">
        <is>
          <t>Month</t>
        </is>
      </c>
      <c r="E58" s="9" t="n">
        <v>5000</v>
      </c>
      <c r="F58" s="9">
        <f>C58*E58</f>
        <v/>
      </c>
      <c r="G58" s="7" t="inlineStr">
        <is>
          <t>Apr 2026</t>
        </is>
      </c>
      <c r="H58" s="27" t="inlineStr">
        <is>
          <t>High</t>
        </is>
      </c>
      <c r="I58" s="7" t="inlineStr">
        <is>
          <t>ISP Provider</t>
        </is>
      </c>
      <c r="J58" s="7" t="inlineStr">
        <is>
          <t>Planned</t>
        </is>
      </c>
      <c r="K58" s="7" t="inlineStr"/>
      <c r="L58" s="26" t="inlineStr"/>
      <c r="M58" s="26" t="inlineStr"/>
      <c r="N58" s="26" t="inlineStr"/>
      <c r="O58" s="26" t="inlineStr"/>
    </row>
    <row r="59">
      <c r="A59" s="12" t="inlineStr">
        <is>
          <t>Hardware Wallet (Ledger)</t>
        </is>
      </c>
      <c r="B59" s="13" t="inlineStr">
        <is>
          <t>Security</t>
        </is>
      </c>
      <c r="C59" s="16" t="n">
        <v>2</v>
      </c>
      <c r="D59" s="13" t="inlineStr">
        <is>
          <t>Unit</t>
        </is>
      </c>
      <c r="E59" s="15" t="n">
        <v>25000</v>
      </c>
      <c r="F59" s="15">
        <f>C59*E59</f>
        <v/>
      </c>
      <c r="G59" s="13" t="inlineStr">
        <is>
          <t>Apr 2026</t>
        </is>
      </c>
      <c r="H59" s="28" t="inlineStr">
        <is>
          <t>Critical</t>
        </is>
      </c>
      <c r="I59" s="13" t="inlineStr">
        <is>
          <t>Trusted E-commerce</t>
        </is>
      </c>
      <c r="J59" s="13" t="inlineStr">
        <is>
          <t>Planned</t>
        </is>
      </c>
      <c r="K59" s="13" t="inlineStr"/>
      <c r="L59" s="26" t="inlineStr"/>
      <c r="M59" s="26" t="inlineStr"/>
      <c r="N59" s="26" t="inlineStr"/>
      <c r="O59" s="26" t="inlineStr"/>
    </row>
    <row r="60">
      <c r="A60" s="6" t="inlineStr">
        <is>
          <t>VPN Subscription</t>
        </is>
      </c>
      <c r="B60" s="7" t="inlineStr">
        <is>
          <t>Security</t>
        </is>
      </c>
      <c r="C60" s="10" t="n">
        <v>1</v>
      </c>
      <c r="D60" s="7" t="inlineStr">
        <is>
          <t>Year</t>
        </is>
      </c>
      <c r="E60" s="9" t="n">
        <v>12000</v>
      </c>
      <c r="F60" s="9">
        <f>C60*E60</f>
        <v/>
      </c>
      <c r="G60" s="7" t="inlineStr">
        <is>
          <t>Apr 2026</t>
        </is>
      </c>
      <c r="H60" s="27" t="inlineStr">
        <is>
          <t>High</t>
        </is>
      </c>
      <c r="I60" s="7" t="inlineStr">
        <is>
          <t>ExpressVPN/similar</t>
        </is>
      </c>
      <c r="J60" s="7" t="inlineStr">
        <is>
          <t>Planned</t>
        </is>
      </c>
      <c r="K60" s="7" t="inlineStr"/>
      <c r="L60" s="26" t="inlineStr"/>
      <c r="M60" s="26" t="inlineStr"/>
      <c r="N60" s="26" t="inlineStr"/>
      <c r="O60" s="26" t="inlineStr"/>
    </row>
    <row r="61">
      <c r="A61" s="12" t="inlineStr">
        <is>
          <t>Portfolio Analytics Tool</t>
        </is>
      </c>
      <c r="B61" s="13" t="inlineStr">
        <is>
          <t>Software</t>
        </is>
      </c>
      <c r="C61" s="16" t="n">
        <v>1</v>
      </c>
      <c r="D61" s="13" t="inlineStr">
        <is>
          <t>Year</t>
        </is>
      </c>
      <c r="E61" s="15" t="n">
        <v>18000</v>
      </c>
      <c r="F61" s="15">
        <f>C61*E61</f>
        <v/>
      </c>
      <c r="G61" s="13" t="inlineStr">
        <is>
          <t>May 2026</t>
        </is>
      </c>
      <c r="H61" s="29" t="inlineStr">
        <is>
          <t>Medium</t>
        </is>
      </c>
      <c r="I61" s="13" t="inlineStr">
        <is>
          <t>Online SaaS</t>
        </is>
      </c>
      <c r="J61" s="13" t="inlineStr">
        <is>
          <t>Evaluating</t>
        </is>
      </c>
      <c r="K61" s="13" t="inlineStr"/>
      <c r="L61" s="26" t="inlineStr"/>
      <c r="M61" s="26" t="inlineStr"/>
      <c r="N61" s="26" t="inlineStr"/>
      <c r="O61" s="26" t="inlineStr"/>
    </row>
    <row r="62">
      <c r="A62" s="6" t="inlineStr">
        <is>
          <t>Accounting Software License</t>
        </is>
      </c>
      <c r="B62" s="7" t="inlineStr">
        <is>
          <t>Software</t>
        </is>
      </c>
      <c r="C62" s="10" t="n">
        <v>1</v>
      </c>
      <c r="D62" s="7" t="inlineStr">
        <is>
          <t>Year</t>
        </is>
      </c>
      <c r="E62" s="9" t="n">
        <v>24000</v>
      </c>
      <c r="F62" s="9">
        <f>C62*E62</f>
        <v/>
      </c>
      <c r="G62" s="7" t="inlineStr">
        <is>
          <t>May 2026</t>
        </is>
      </c>
      <c r="H62" s="27" t="inlineStr">
        <is>
          <t>High</t>
        </is>
      </c>
      <c r="I62" s="7" t="inlineStr">
        <is>
          <t>QuickBooks/Zoho</t>
        </is>
      </c>
      <c r="J62" s="7" t="inlineStr">
        <is>
          <t>Planned</t>
        </is>
      </c>
      <c r="K62" s="7" t="inlineStr"/>
      <c r="L62" s="26" t="inlineStr"/>
      <c r="M62" s="26" t="inlineStr"/>
      <c r="N62" s="26" t="inlineStr"/>
      <c r="O62" s="26" t="inlineStr"/>
    </row>
    <row r="63">
      <c r="A63" s="12" t="inlineStr">
        <is>
          <t>Dedicated Workstation</t>
        </is>
      </c>
      <c r="B63" s="13" t="inlineStr">
        <is>
          <t>Hardware</t>
        </is>
      </c>
      <c r="C63" s="16" t="n">
        <v>1</v>
      </c>
      <c r="D63" s="13" t="inlineStr">
        <is>
          <t>Unit</t>
        </is>
      </c>
      <c r="E63" s="15" t="n">
        <v>120000</v>
      </c>
      <c r="F63" s="15">
        <f>C63*E63</f>
        <v/>
      </c>
      <c r="G63" s="13" t="inlineStr">
        <is>
          <t>Jun 2026</t>
        </is>
      </c>
      <c r="H63" s="29" t="inlineStr">
        <is>
          <t>Medium</t>
        </is>
      </c>
      <c r="I63" s="13" t="inlineStr">
        <is>
          <t>Local Vendor</t>
        </is>
      </c>
      <c r="J63" s="13" t="inlineStr">
        <is>
          <t>Pending</t>
        </is>
      </c>
      <c r="K63" s="13" t="inlineStr"/>
      <c r="L63" s="26" t="inlineStr"/>
      <c r="M63" s="26" t="inlineStr"/>
      <c r="N63" s="26" t="inlineStr"/>
      <c r="O63" s="26" t="inlineStr"/>
    </row>
    <row r="64">
      <c r="A64" s="6" t="inlineStr">
        <is>
          <t>UPS / Power Backup</t>
        </is>
      </c>
      <c r="B64" s="7" t="inlineStr">
        <is>
          <t>Hardware</t>
        </is>
      </c>
      <c r="C64" s="10" t="n">
        <v>1</v>
      </c>
      <c r="D64" s="7" t="inlineStr">
        <is>
          <t>Unit</t>
        </is>
      </c>
      <c r="E64" s="9" t="n">
        <v>35000</v>
      </c>
      <c r="F64" s="9">
        <f>C64*E64</f>
        <v/>
      </c>
      <c r="G64" s="7" t="inlineStr">
        <is>
          <t>Jun 2026</t>
        </is>
      </c>
      <c r="H64" s="29" t="inlineStr">
        <is>
          <t>Medium</t>
        </is>
      </c>
      <c r="I64" s="7" t="inlineStr">
        <is>
          <t>Local Vendor</t>
        </is>
      </c>
      <c r="J64" s="7" t="inlineStr">
        <is>
          <t>Pending</t>
        </is>
      </c>
      <c r="K64" s="7" t="inlineStr"/>
      <c r="L64" s="26" t="inlineStr"/>
      <c r="M64" s="26" t="inlineStr"/>
      <c r="N64" s="26" t="inlineStr"/>
      <c r="O64" s="26" t="inlineStr"/>
    </row>
    <row r="65">
      <c r="A65" s="12" t="inlineStr">
        <is>
          <t>Legal/Compliance Consultant</t>
        </is>
      </c>
      <c r="B65" s="13" t="inlineStr">
        <is>
          <t>Professional</t>
        </is>
      </c>
      <c r="C65" s="16" t="n">
        <v>1</v>
      </c>
      <c r="D65" s="13" t="inlineStr">
        <is>
          <t>Quarter</t>
        </is>
      </c>
      <c r="E65" s="15" t="n">
        <v>50000</v>
      </c>
      <c r="F65" s="15">
        <f>C65*E65</f>
        <v/>
      </c>
      <c r="G65" s="13" t="inlineStr">
        <is>
          <t>Jul 2026</t>
        </is>
      </c>
      <c r="H65" s="27" t="inlineStr">
        <is>
          <t>High</t>
        </is>
      </c>
      <c r="I65" s="13" t="inlineStr">
        <is>
          <t>Legal Firm</t>
        </is>
      </c>
      <c r="J65" s="13" t="inlineStr">
        <is>
          <t>Sourcing</t>
        </is>
      </c>
      <c r="K65" s="13" t="inlineStr"/>
      <c r="L65" s="26" t="inlineStr"/>
      <c r="M65" s="26" t="inlineStr"/>
      <c r="N65" s="26" t="inlineStr"/>
      <c r="O65" s="26" t="inlineStr"/>
    </row>
    <row r="66">
      <c r="A66" s="6" t="inlineStr">
        <is>
          <t>External Backup Drive (2TB)</t>
        </is>
      </c>
      <c r="B66" s="7" t="inlineStr">
        <is>
          <t>Storage</t>
        </is>
      </c>
      <c r="C66" s="10" t="n">
        <v>2</v>
      </c>
      <c r="D66" s="7" t="inlineStr">
        <is>
          <t>Unit</t>
        </is>
      </c>
      <c r="E66" s="9" t="n">
        <v>15000</v>
      </c>
      <c r="F66" s="9">
        <f>C66*E66</f>
        <v/>
      </c>
      <c r="G66" s="7" t="inlineStr">
        <is>
          <t>Aug 2026</t>
        </is>
      </c>
      <c r="H66" s="29" t="inlineStr">
        <is>
          <t>Medium</t>
        </is>
      </c>
      <c r="I66" s="7" t="inlineStr">
        <is>
          <t>Trusted E-commerce</t>
        </is>
      </c>
      <c r="J66" s="7" t="inlineStr">
        <is>
          <t>Pending</t>
        </is>
      </c>
      <c r="K66" s="7" t="inlineStr"/>
      <c r="L66" s="26" t="inlineStr"/>
      <c r="M66" s="26" t="inlineStr"/>
      <c r="N66" s="26" t="inlineStr"/>
      <c r="O66" s="26" t="inlineStr"/>
    </row>
    <row r="67">
      <c r="A67" s="12" t="inlineStr">
        <is>
          <t>Training / Courses</t>
        </is>
      </c>
      <c r="B67" s="13" t="inlineStr">
        <is>
          <t>Development</t>
        </is>
      </c>
      <c r="C67" s="16" t="n">
        <v>2</v>
      </c>
      <c r="D67" s="13" t="inlineStr">
        <is>
          <t>Course</t>
        </is>
      </c>
      <c r="E67" s="15" t="n">
        <v>8000</v>
      </c>
      <c r="F67" s="15">
        <f>C67*E67</f>
        <v/>
      </c>
      <c r="G67" s="13" t="inlineStr">
        <is>
          <t>Sep 2026</t>
        </is>
      </c>
      <c r="H67" s="30" t="inlineStr">
        <is>
          <t>Low</t>
        </is>
      </c>
      <c r="I67" s="13" t="inlineStr">
        <is>
          <t>Udemy / Institute</t>
        </is>
      </c>
      <c r="J67" s="13" t="inlineStr">
        <is>
          <t>Planned</t>
        </is>
      </c>
      <c r="K67" s="13" t="inlineStr"/>
      <c r="L67" s="26" t="inlineStr"/>
      <c r="M67" s="26" t="inlineStr"/>
      <c r="N67" s="26" t="inlineStr"/>
      <c r="O67" s="26" t="inlineStr"/>
    </row>
    <row r="68">
      <c r="A68" s="18" t="inlineStr">
        <is>
          <t>TOTAL RESOURCE BUDGET (PKR)</t>
        </is>
      </c>
      <c r="F68" s="20">
        <f>SUM(F58:F67)</f>
        <v/>
      </c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</row>
    <row r="70" ht="32" customHeight="1">
      <c r="A70" s="31" t="inlineStr">
        <is>
          <t>⚠  SHARIA NOTE: This sheet tracks ONLY spot transactions in stable coins. No futures, derivatives, leverage, margin, or interest-bearing instruments are included or permitted.</t>
        </is>
      </c>
    </row>
  </sheetData>
  <mergeCells count="13">
    <mergeCell ref="A15:O15"/>
    <mergeCell ref="A54:B54"/>
    <mergeCell ref="A2:O2"/>
    <mergeCell ref="A25:B25"/>
    <mergeCell ref="A42:O42"/>
    <mergeCell ref="A70:O70"/>
    <mergeCell ref="A68:E68"/>
    <mergeCell ref="A1:O1"/>
    <mergeCell ref="A13:B13"/>
    <mergeCell ref="A5:O5"/>
    <mergeCell ref="A27:O27"/>
    <mergeCell ref="A56:O56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40" customHeight="1">
      <c r="A1" s="32" t="inlineStr">
        <is>
          <t>🕌  EQAAZ ISLAMIC SCHOOLING SYSTEM  |  BUSINESS MANAGEMENT DASHBOARD</t>
        </is>
      </c>
    </row>
    <row r="2" ht="22" customHeight="1">
      <c r="A2" s="33" t="inlineStr">
        <is>
          <t>Rental Property Setup  ·  Medium Scale  |  Prepared: 19 April 2026</t>
        </is>
      </c>
    </row>
    <row r="3" ht="18" customHeight="1">
      <c r="A3" s="34" t="inlineStr"/>
    </row>
    <row r="5" ht="24" customHeight="1">
      <c r="A5" s="35" t="inlineStr">
        <is>
          <t>SECTION A  ─  MONTHLY INCOME TRACKER</t>
        </is>
      </c>
    </row>
    <row r="6" ht="28" customHeight="1">
      <c r="A6" s="36" t="inlineStr">
        <is>
          <t>Income Source</t>
        </is>
      </c>
      <c r="B6" s="36" t="inlineStr">
        <is>
          <t>Description</t>
        </is>
      </c>
      <c r="C6" s="36" t="inlineStr">
        <is>
          <t>Jan</t>
        </is>
      </c>
      <c r="D6" s="36" t="inlineStr">
        <is>
          <t>Feb</t>
        </is>
      </c>
      <c r="E6" s="36" t="inlineStr">
        <is>
          <t>Mar</t>
        </is>
      </c>
      <c r="F6" s="36" t="inlineStr">
        <is>
          <t>Apr</t>
        </is>
      </c>
      <c r="G6" s="36" t="inlineStr">
        <is>
          <t>May</t>
        </is>
      </c>
      <c r="H6" s="36" t="inlineStr">
        <is>
          <t>Jun</t>
        </is>
      </c>
      <c r="I6" s="36" t="inlineStr">
        <is>
          <t>Jul</t>
        </is>
      </c>
      <c r="J6" s="36" t="inlineStr">
        <is>
          <t>Aug</t>
        </is>
      </c>
      <c r="K6" s="36" t="inlineStr">
        <is>
          <t>Sep</t>
        </is>
      </c>
      <c r="L6" s="36" t="inlineStr">
        <is>
          <t>Oct</t>
        </is>
      </c>
      <c r="M6" s="36" t="inlineStr">
        <is>
          <t>Nov</t>
        </is>
      </c>
      <c r="N6" s="36" t="inlineStr">
        <is>
          <t>Dec</t>
        </is>
      </c>
      <c r="O6" s="36" t="inlineStr">
        <is>
          <t>ANNUAL TOTAL</t>
        </is>
      </c>
    </row>
    <row r="7">
      <c r="A7" s="37" t="inlineStr">
        <is>
          <t>Monthly Tuition Fees</t>
        </is>
      </c>
      <c r="B7" s="38" t="inlineStr">
        <is>
          <t>Per-student monthly fee × enrolment</t>
        </is>
      </c>
      <c r="C7" s="39" t="n">
        <v>0</v>
      </c>
      <c r="D7" s="39" t="n">
        <v>0</v>
      </c>
      <c r="E7" s="39" t="n">
        <v>0</v>
      </c>
      <c r="F7" s="39" t="n">
        <v>0</v>
      </c>
      <c r="G7" s="39" t="n">
        <v>0</v>
      </c>
      <c r="H7" s="39" t="n">
        <v>0</v>
      </c>
      <c r="I7" s="39" t="n">
        <v>0</v>
      </c>
      <c r="J7" s="39" t="n">
        <v>0</v>
      </c>
      <c r="K7" s="39" t="n">
        <v>0</v>
      </c>
      <c r="L7" s="39" t="n">
        <v>0</v>
      </c>
      <c r="M7" s="39" t="n">
        <v>0</v>
      </c>
      <c r="N7" s="39" t="n">
        <v>0</v>
      </c>
      <c r="O7" s="40">
        <f>SUM(C7:N7)</f>
        <v/>
      </c>
    </row>
    <row r="8">
      <c r="A8" s="12" t="inlineStr">
        <is>
          <t>Admission / Registration</t>
        </is>
      </c>
      <c r="B8" s="24" t="inlineStr">
        <is>
          <t>One-time per new student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40">
        <f>SUM(C8:N8)</f>
        <v/>
      </c>
    </row>
    <row r="9">
      <c r="A9" s="37" t="inlineStr">
        <is>
          <t>Quran Hifz Program Fees</t>
        </is>
      </c>
      <c r="B9" s="38" t="inlineStr">
        <is>
          <t>Dedicated hifz class fees</t>
        </is>
      </c>
      <c r="C9" s="39" t="n">
        <v>0</v>
      </c>
      <c r="D9" s="39" t="n">
        <v>0</v>
      </c>
      <c r="E9" s="39" t="n">
        <v>0</v>
      </c>
      <c r="F9" s="39" t="n">
        <v>0</v>
      </c>
      <c r="G9" s="39" t="n">
        <v>0</v>
      </c>
      <c r="H9" s="39" t="n">
        <v>0</v>
      </c>
      <c r="I9" s="39" t="n">
        <v>0</v>
      </c>
      <c r="J9" s="39" t="n">
        <v>0</v>
      </c>
      <c r="K9" s="39" t="n">
        <v>0</v>
      </c>
      <c r="L9" s="39" t="n">
        <v>0</v>
      </c>
      <c r="M9" s="39" t="n">
        <v>0</v>
      </c>
      <c r="N9" s="39" t="n">
        <v>0</v>
      </c>
      <c r="O9" s="40">
        <f>SUM(C9:N9)</f>
        <v/>
      </c>
    </row>
    <row r="10">
      <c r="A10" s="12" t="inlineStr">
        <is>
          <t>Nazra / Basic Quran</t>
        </is>
      </c>
      <c r="B10" s="24" t="inlineStr">
        <is>
          <t>Separate nazra batch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40">
        <f>SUM(C10:N10)</f>
        <v/>
      </c>
    </row>
    <row r="11">
      <c r="A11" s="37" t="inlineStr">
        <is>
          <t>Islamic Studies Fees</t>
        </is>
      </c>
      <c r="B11" s="38" t="inlineStr">
        <is>
          <t>Optional subject premium</t>
        </is>
      </c>
      <c r="C11" s="39" t="n">
        <v>0</v>
      </c>
      <c r="D11" s="39" t="n">
        <v>0</v>
      </c>
      <c r="E11" s="39" t="n">
        <v>0</v>
      </c>
      <c r="F11" s="39" t="n">
        <v>0</v>
      </c>
      <c r="G11" s="39" t="n">
        <v>0</v>
      </c>
      <c r="H11" s="39" t="n">
        <v>0</v>
      </c>
      <c r="I11" s="39" t="n">
        <v>0</v>
      </c>
      <c r="J11" s="39" t="n">
        <v>0</v>
      </c>
      <c r="K11" s="39" t="n">
        <v>0</v>
      </c>
      <c r="L11" s="39" t="n">
        <v>0</v>
      </c>
      <c r="M11" s="39" t="n">
        <v>0</v>
      </c>
      <c r="N11" s="39" t="n">
        <v>0</v>
      </c>
      <c r="O11" s="40">
        <f>SUM(C11:N11)</f>
        <v/>
      </c>
    </row>
    <row r="12">
      <c r="A12" s="12" t="inlineStr">
        <is>
          <t>Exam / Assessment Fees</t>
        </is>
      </c>
      <c r="B12" s="24" t="inlineStr">
        <is>
          <t>Per assessment cycle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40">
        <f>SUM(C12:N12)</f>
        <v/>
      </c>
    </row>
    <row r="13">
      <c r="A13" s="37" t="inlineStr">
        <is>
          <t>Stationery / Kit Sales</t>
        </is>
      </c>
      <c r="B13" s="38" t="inlineStr">
        <is>
          <t>Books, uniform packages</t>
        </is>
      </c>
      <c r="C13" s="39" t="n">
        <v>0</v>
      </c>
      <c r="D13" s="39" t="n">
        <v>0</v>
      </c>
      <c r="E13" s="39" t="n">
        <v>0</v>
      </c>
      <c r="F13" s="39" t="n">
        <v>0</v>
      </c>
      <c r="G13" s="39" t="n">
        <v>0</v>
      </c>
      <c r="H13" s="39" t="n">
        <v>0</v>
      </c>
      <c r="I13" s="39" t="n">
        <v>0</v>
      </c>
      <c r="J13" s="39" t="n">
        <v>0</v>
      </c>
      <c r="K13" s="39" t="n">
        <v>0</v>
      </c>
      <c r="L13" s="39" t="n">
        <v>0</v>
      </c>
      <c r="M13" s="39" t="n">
        <v>0</v>
      </c>
      <c r="N13" s="39" t="n">
        <v>0</v>
      </c>
      <c r="O13" s="40">
        <f>SUM(C13:N13)</f>
        <v/>
      </c>
    </row>
    <row r="14">
      <c r="A14" s="12" t="inlineStr">
        <is>
          <t>Donation / Zakat Funds</t>
        </is>
      </c>
      <c r="B14" s="24" t="inlineStr">
        <is>
          <t>Zakat / Sadaqah received</t>
        </is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40">
        <f>SUM(C14:N14)</f>
        <v/>
      </c>
    </row>
    <row r="15">
      <c r="A15" s="37" t="inlineStr">
        <is>
          <t>Government / NGO Grant</t>
        </is>
      </c>
      <c r="B15" s="38" t="inlineStr">
        <is>
          <t>If applicable</t>
        </is>
      </c>
      <c r="C15" s="39" t="n">
        <v>0</v>
      </c>
      <c r="D15" s="39" t="n">
        <v>0</v>
      </c>
      <c r="E15" s="39" t="n">
        <v>0</v>
      </c>
      <c r="F15" s="39" t="n">
        <v>0</v>
      </c>
      <c r="G15" s="39" t="n">
        <v>0</v>
      </c>
      <c r="H15" s="39" t="n">
        <v>0</v>
      </c>
      <c r="I15" s="39" t="n">
        <v>0</v>
      </c>
      <c r="J15" s="39" t="n">
        <v>0</v>
      </c>
      <c r="K15" s="39" t="n">
        <v>0</v>
      </c>
      <c r="L15" s="39" t="n">
        <v>0</v>
      </c>
      <c r="M15" s="39" t="n">
        <v>0</v>
      </c>
      <c r="N15" s="39" t="n">
        <v>0</v>
      </c>
      <c r="O15" s="40">
        <f>SUM(C15:N15)</f>
        <v/>
      </c>
    </row>
    <row r="16">
      <c r="A16" s="12" t="inlineStr">
        <is>
          <t>Other Income</t>
        </is>
      </c>
      <c r="B16" s="24" t="inlineStr">
        <is>
          <t>Miscellaneous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40">
        <f>SUM(C16:N16)</f>
        <v/>
      </c>
    </row>
    <row r="17">
      <c r="A17" s="41" t="inlineStr">
        <is>
          <t>TOTAL MONTHLY INCOME</t>
        </is>
      </c>
      <c r="C17" s="42">
        <f>SUM(C7:C16)</f>
        <v/>
      </c>
      <c r="D17" s="42">
        <f>SUM(D7:D16)</f>
        <v/>
      </c>
      <c r="E17" s="42">
        <f>SUM(E7:E16)</f>
        <v/>
      </c>
      <c r="F17" s="42">
        <f>SUM(F7:F16)</f>
        <v/>
      </c>
      <c r="G17" s="42">
        <f>SUM(G7:G16)</f>
        <v/>
      </c>
      <c r="H17" s="42">
        <f>SUM(H7:H16)</f>
        <v/>
      </c>
      <c r="I17" s="42">
        <f>SUM(I7:I16)</f>
        <v/>
      </c>
      <c r="J17" s="42">
        <f>SUM(J7:J16)</f>
        <v/>
      </c>
      <c r="K17" s="42">
        <f>SUM(K7:K16)</f>
        <v/>
      </c>
      <c r="L17" s="42">
        <f>SUM(L7:L16)</f>
        <v/>
      </c>
      <c r="M17" s="42">
        <f>SUM(M7:M16)</f>
        <v/>
      </c>
      <c r="N17" s="42">
        <f>SUM(N7:N16)</f>
        <v/>
      </c>
      <c r="O17" s="42">
        <f>SUM(O7:O16)</f>
        <v/>
      </c>
    </row>
    <row r="19" ht="24" customHeight="1">
      <c r="A19" s="35" t="inlineStr">
        <is>
          <t>SECTION B  ─  MONTHLY EXPENSE TRACKER</t>
        </is>
      </c>
    </row>
    <row r="20" ht="28" customHeight="1">
      <c r="A20" s="36" t="inlineStr">
        <is>
          <t>Expense Category</t>
        </is>
      </c>
      <c r="B20" s="36" t="inlineStr">
        <is>
          <t>Description</t>
        </is>
      </c>
      <c r="C20" s="36" t="inlineStr">
        <is>
          <t>Jan</t>
        </is>
      </c>
      <c r="D20" s="36" t="inlineStr">
        <is>
          <t>Feb</t>
        </is>
      </c>
      <c r="E20" s="36" t="inlineStr">
        <is>
          <t>Mar</t>
        </is>
      </c>
      <c r="F20" s="36" t="inlineStr">
        <is>
          <t>Apr</t>
        </is>
      </c>
      <c r="G20" s="36" t="inlineStr">
        <is>
          <t>May</t>
        </is>
      </c>
      <c r="H20" s="36" t="inlineStr">
        <is>
          <t>Jun</t>
        </is>
      </c>
      <c r="I20" s="36" t="inlineStr">
        <is>
          <t>Jul</t>
        </is>
      </c>
      <c r="J20" s="36" t="inlineStr">
        <is>
          <t>Aug</t>
        </is>
      </c>
      <c r="K20" s="36" t="inlineStr">
        <is>
          <t>Sep</t>
        </is>
      </c>
      <c r="L20" s="36" t="inlineStr">
        <is>
          <t>Oct</t>
        </is>
      </c>
      <c r="M20" s="36" t="inlineStr">
        <is>
          <t>Nov</t>
        </is>
      </c>
      <c r="N20" s="36" t="inlineStr">
        <is>
          <t>Dec</t>
        </is>
      </c>
      <c r="O20" s="36" t="inlineStr">
        <is>
          <t>ANNUAL TOTAL</t>
        </is>
      </c>
    </row>
    <row r="21">
      <c r="A21" s="37" t="inlineStr">
        <is>
          <t>Property Rent</t>
        </is>
      </c>
      <c r="B21" s="38" t="inlineStr">
        <is>
          <t>Monthly rental (full premises)</t>
        </is>
      </c>
      <c r="C21" s="39" t="n">
        <v>0</v>
      </c>
      <c r="D21" s="39" t="n">
        <v>0</v>
      </c>
      <c r="E21" s="39" t="n">
        <v>0</v>
      </c>
      <c r="F21" s="39" t="n">
        <v>0</v>
      </c>
      <c r="G21" s="39" t="n">
        <v>0</v>
      </c>
      <c r="H21" s="39" t="n">
        <v>0</v>
      </c>
      <c r="I21" s="39" t="n">
        <v>0</v>
      </c>
      <c r="J21" s="39" t="n">
        <v>0</v>
      </c>
      <c r="K21" s="39" t="n">
        <v>0</v>
      </c>
      <c r="L21" s="39" t="n">
        <v>0</v>
      </c>
      <c r="M21" s="39" t="n">
        <v>0</v>
      </c>
      <c r="N21" s="39" t="n">
        <v>0</v>
      </c>
      <c r="O21" s="40">
        <f>SUM(C21:N21)</f>
        <v/>
      </c>
    </row>
    <row r="22">
      <c r="A22" s="12" t="inlineStr">
        <is>
          <t>Electricity Bill</t>
        </is>
      </c>
      <c r="B22" s="24" t="inlineStr">
        <is>
          <t>WAPDA / LESCO charges</t>
        </is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  <c r="N22" s="15" t="n">
        <v>0</v>
      </c>
      <c r="O22" s="40">
        <f>SUM(C22:N22)</f>
        <v/>
      </c>
    </row>
    <row r="23">
      <c r="A23" s="37" t="inlineStr">
        <is>
          <t>Gas / Heating</t>
        </is>
      </c>
      <c r="B23" s="38" t="inlineStr">
        <is>
          <t>Sui Gas or cylinder</t>
        </is>
      </c>
      <c r="C23" s="39" t="n">
        <v>0</v>
      </c>
      <c r="D23" s="39" t="n">
        <v>0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39" t="n">
        <v>0</v>
      </c>
      <c r="M23" s="39" t="n">
        <v>0</v>
      </c>
      <c r="N23" s="39" t="n">
        <v>0</v>
      </c>
      <c r="O23" s="40">
        <f>SUM(C23:N23)</f>
        <v/>
      </c>
    </row>
    <row r="24">
      <c r="A24" s="12" t="inlineStr">
        <is>
          <t>Water / WASA</t>
        </is>
      </c>
      <c r="B24" s="24" t="inlineStr">
        <is>
          <t>Monthly water charges</t>
        </is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40">
        <f>SUM(C24:N24)</f>
        <v/>
      </c>
    </row>
    <row r="25">
      <c r="A25" s="37" t="inlineStr">
        <is>
          <t>Internet &amp; Telephony</t>
        </is>
      </c>
      <c r="B25" s="38" t="inlineStr">
        <is>
          <t>Broadband + phone bills</t>
        </is>
      </c>
      <c r="C25" s="39" t="n">
        <v>0</v>
      </c>
      <c r="D25" s="39" t="n">
        <v>0</v>
      </c>
      <c r="E25" s="39" t="n">
        <v>0</v>
      </c>
      <c r="F25" s="39" t="n">
        <v>0</v>
      </c>
      <c r="G25" s="39" t="n">
        <v>0</v>
      </c>
      <c r="H25" s="39" t="n">
        <v>0</v>
      </c>
      <c r="I25" s="39" t="n">
        <v>0</v>
      </c>
      <c r="J25" s="39" t="n">
        <v>0</v>
      </c>
      <c r="K25" s="39" t="n">
        <v>0</v>
      </c>
      <c r="L25" s="39" t="n">
        <v>0</v>
      </c>
      <c r="M25" s="39" t="n">
        <v>0</v>
      </c>
      <c r="N25" s="39" t="n">
        <v>0</v>
      </c>
      <c r="O25" s="40">
        <f>SUM(C25:N25)</f>
        <v/>
      </c>
    </row>
    <row r="26">
      <c r="A26" s="12" t="inlineStr">
        <is>
          <t>Teaching Staff Salaries</t>
        </is>
      </c>
      <c r="B26" s="24" t="inlineStr">
        <is>
          <t>Quran + academics teachers</t>
        </is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40">
        <f>SUM(C26:N26)</f>
        <v/>
      </c>
    </row>
    <row r="27">
      <c r="A27" s="37" t="inlineStr">
        <is>
          <t>Admin / Support Staff</t>
        </is>
      </c>
      <c r="B27" s="38" t="inlineStr">
        <is>
          <t>Receptionist, peon, guard</t>
        </is>
      </c>
      <c r="C27" s="39" t="n">
        <v>0</v>
      </c>
      <c r="D27" s="39" t="n">
        <v>0</v>
      </c>
      <c r="E27" s="39" t="n">
        <v>0</v>
      </c>
      <c r="F27" s="39" t="n">
        <v>0</v>
      </c>
      <c r="G27" s="39" t="n">
        <v>0</v>
      </c>
      <c r="H27" s="39" t="n">
        <v>0</v>
      </c>
      <c r="I27" s="39" t="n">
        <v>0</v>
      </c>
      <c r="J27" s="39" t="n">
        <v>0</v>
      </c>
      <c r="K27" s="39" t="n">
        <v>0</v>
      </c>
      <c r="L27" s="39" t="n">
        <v>0</v>
      </c>
      <c r="M27" s="39" t="n">
        <v>0</v>
      </c>
      <c r="N27" s="39" t="n">
        <v>0</v>
      </c>
      <c r="O27" s="40">
        <f>SUM(C27:N27)</f>
        <v/>
      </c>
    </row>
    <row r="28">
      <c r="A28" s="12" t="inlineStr">
        <is>
          <t>Driver / Transport</t>
        </is>
      </c>
      <c r="B28" s="24" t="inlineStr">
        <is>
          <t>School van / fuel if applicable</t>
        </is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40">
        <f>SUM(C28:N28)</f>
        <v/>
      </c>
    </row>
    <row r="29">
      <c r="A29" s="37" t="inlineStr">
        <is>
          <t>Cleaning &amp; Maintenance</t>
        </is>
      </c>
      <c r="B29" s="38" t="inlineStr">
        <is>
          <t>Janitor + repairs</t>
        </is>
      </c>
      <c r="C29" s="39" t="n">
        <v>0</v>
      </c>
      <c r="D29" s="39" t="n">
        <v>0</v>
      </c>
      <c r="E29" s="39" t="n">
        <v>0</v>
      </c>
      <c r="F29" s="39" t="n">
        <v>0</v>
      </c>
      <c r="G29" s="39" t="n">
        <v>0</v>
      </c>
      <c r="H29" s="39" t="n">
        <v>0</v>
      </c>
      <c r="I29" s="39" t="n">
        <v>0</v>
      </c>
      <c r="J29" s="39" t="n">
        <v>0</v>
      </c>
      <c r="K29" s="39" t="n">
        <v>0</v>
      </c>
      <c r="L29" s="39" t="n">
        <v>0</v>
      </c>
      <c r="M29" s="39" t="n">
        <v>0</v>
      </c>
      <c r="N29" s="39" t="n">
        <v>0</v>
      </c>
      <c r="O29" s="40">
        <f>SUM(C29:N29)</f>
        <v/>
      </c>
    </row>
    <row r="30">
      <c r="A30" s="12" t="inlineStr">
        <is>
          <t>Teaching Materials</t>
        </is>
      </c>
      <c r="B30" s="24" t="inlineStr">
        <is>
          <t>Books, worksheets, stationery</t>
        </is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40">
        <f>SUM(C30:N30)</f>
        <v/>
      </c>
    </row>
    <row r="31">
      <c r="A31" s="37" t="inlineStr">
        <is>
          <t>IT Equipment Maintenance</t>
        </is>
      </c>
      <c r="B31" s="38" t="inlineStr">
        <is>
          <t>Projector, PC, printer repair</t>
        </is>
      </c>
      <c r="C31" s="39" t="n">
        <v>0</v>
      </c>
      <c r="D31" s="39" t="n">
        <v>0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</v>
      </c>
      <c r="J31" s="39" t="n">
        <v>0</v>
      </c>
      <c r="K31" s="39" t="n">
        <v>0</v>
      </c>
      <c r="L31" s="39" t="n">
        <v>0</v>
      </c>
      <c r="M31" s="39" t="n">
        <v>0</v>
      </c>
      <c r="N31" s="39" t="n">
        <v>0</v>
      </c>
      <c r="O31" s="40">
        <f>SUM(C31:N31)</f>
        <v/>
      </c>
    </row>
    <row r="32">
      <c r="A32" s="12" t="inlineStr">
        <is>
          <t>Prayer Hall / Mosque Upkeep</t>
        </is>
      </c>
      <c r="B32" s="24" t="inlineStr">
        <is>
          <t>Quran stands, prayer mats, oud</t>
        </is>
      </c>
      <c r="C32" s="15" t="n">
        <v>0</v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40">
        <f>SUM(C32:N32)</f>
        <v/>
      </c>
    </row>
    <row r="33">
      <c r="A33" s="37" t="inlineStr">
        <is>
          <t>First Aid / Health</t>
        </is>
      </c>
      <c r="B33" s="38" t="inlineStr">
        <is>
          <t>Medicine box, safety items</t>
        </is>
      </c>
      <c r="C33" s="39" t="n">
        <v>0</v>
      </c>
      <c r="D33" s="39" t="n">
        <v>0</v>
      </c>
      <c r="E33" s="39" t="n">
        <v>0</v>
      </c>
      <c r="F33" s="39" t="n">
        <v>0</v>
      </c>
      <c r="G33" s="39" t="n">
        <v>0</v>
      </c>
      <c r="H33" s="39" t="n">
        <v>0</v>
      </c>
      <c r="I33" s="39" t="n">
        <v>0</v>
      </c>
      <c r="J33" s="39" t="n">
        <v>0</v>
      </c>
      <c r="K33" s="39" t="n">
        <v>0</v>
      </c>
      <c r="L33" s="39" t="n">
        <v>0</v>
      </c>
      <c r="M33" s="39" t="n">
        <v>0</v>
      </c>
      <c r="N33" s="39" t="n">
        <v>0</v>
      </c>
      <c r="O33" s="40">
        <f>SUM(C33:N33)</f>
        <v/>
      </c>
    </row>
    <row r="34">
      <c r="A34" s="12" t="inlineStr">
        <is>
          <t>Marketing &amp; Admission</t>
        </is>
      </c>
      <c r="B34" s="24" t="inlineStr">
        <is>
          <t>Banners, social media, flyers</t>
        </is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40">
        <f>SUM(C34:N34)</f>
        <v/>
      </c>
    </row>
    <row r="35">
      <c r="A35" s="37" t="inlineStr">
        <is>
          <t>Zakat / Charity Disbursed</t>
        </is>
      </c>
      <c r="B35" s="38" t="inlineStr">
        <is>
          <t>From donations received</t>
        </is>
      </c>
      <c r="C35" s="39" t="n">
        <v>0</v>
      </c>
      <c r="D35" s="39" t="n">
        <v>0</v>
      </c>
      <c r="E35" s="39" t="n">
        <v>0</v>
      </c>
      <c r="F35" s="39" t="n">
        <v>0</v>
      </c>
      <c r="G35" s="39" t="n">
        <v>0</v>
      </c>
      <c r="H35" s="39" t="n">
        <v>0</v>
      </c>
      <c r="I35" s="39" t="n">
        <v>0</v>
      </c>
      <c r="J35" s="39" t="n">
        <v>0</v>
      </c>
      <c r="K35" s="39" t="n">
        <v>0</v>
      </c>
      <c r="L35" s="39" t="n">
        <v>0</v>
      </c>
      <c r="M35" s="39" t="n">
        <v>0</v>
      </c>
      <c r="N35" s="39" t="n">
        <v>0</v>
      </c>
      <c r="O35" s="40">
        <f>SUM(C35:N35)</f>
        <v/>
      </c>
    </row>
    <row r="36">
      <c r="A36" s="12" t="inlineStr">
        <is>
          <t>Miscellaneous &amp; Contingency</t>
        </is>
      </c>
      <c r="B36" s="24" t="inlineStr">
        <is>
          <t>Unexpected expenses buffer</t>
        </is>
      </c>
      <c r="C36" s="15" t="n">
        <v>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40">
        <f>SUM(C36:N36)</f>
        <v/>
      </c>
    </row>
    <row r="37">
      <c r="A37" s="41" t="inlineStr">
        <is>
          <t>TOTAL MONTHLY EXPENSES</t>
        </is>
      </c>
      <c r="C37" s="42">
        <f>SUM(C21:C36)</f>
        <v/>
      </c>
      <c r="D37" s="42">
        <f>SUM(D21:D36)</f>
        <v/>
      </c>
      <c r="E37" s="42">
        <f>SUM(E21:E36)</f>
        <v/>
      </c>
      <c r="F37" s="42">
        <f>SUM(F21:F36)</f>
        <v/>
      </c>
      <c r="G37" s="42">
        <f>SUM(G21:G36)</f>
        <v/>
      </c>
      <c r="H37" s="42">
        <f>SUM(H21:H36)</f>
        <v/>
      </c>
      <c r="I37" s="42">
        <f>SUM(I21:I36)</f>
        <v/>
      </c>
      <c r="J37" s="42">
        <f>SUM(J21:J36)</f>
        <v/>
      </c>
      <c r="K37" s="42">
        <f>SUM(K21:K36)</f>
        <v/>
      </c>
      <c r="L37" s="42">
        <f>SUM(L21:L36)</f>
        <v/>
      </c>
      <c r="M37" s="42">
        <f>SUM(M21:M36)</f>
        <v/>
      </c>
      <c r="N37" s="42">
        <f>SUM(N21:N36)</f>
        <v/>
      </c>
      <c r="O37" s="42">
        <f>SUM(O21:O36)</f>
        <v/>
      </c>
    </row>
    <row r="38">
      <c r="A38" s="43" t="inlineStr">
        <is>
          <t>NET SURPLUS / (DEFICIT)</t>
        </is>
      </c>
      <c r="C38" s="44">
        <f>C17-C37</f>
        <v/>
      </c>
      <c r="D38" s="44">
        <f>D17-D37</f>
        <v/>
      </c>
      <c r="E38" s="44">
        <f>E17-E37</f>
        <v/>
      </c>
      <c r="F38" s="44">
        <f>F17-F37</f>
        <v/>
      </c>
      <c r="G38" s="44">
        <f>G17-G37</f>
        <v/>
      </c>
      <c r="H38" s="44">
        <f>H17-H37</f>
        <v/>
      </c>
      <c r="I38" s="44">
        <f>I17-I37</f>
        <v/>
      </c>
      <c r="J38" s="44">
        <f>J17-J37</f>
        <v/>
      </c>
      <c r="K38" s="44">
        <f>K17-K37</f>
        <v/>
      </c>
      <c r="L38" s="44">
        <f>L17-L37</f>
        <v/>
      </c>
      <c r="M38" s="44">
        <f>M17-M37</f>
        <v/>
      </c>
      <c r="N38" s="44">
        <f>N17-N37</f>
        <v/>
      </c>
      <c r="O38" s="44">
        <f>O17-O37</f>
        <v/>
      </c>
    </row>
    <row r="40" ht="24" customHeight="1">
      <c r="A40" s="35" t="inlineStr">
        <is>
          <t>SECTION C  ─  6-MONTH BUSINESS PROJECTION  (Apr 2026 – Sep 2026)</t>
        </is>
      </c>
    </row>
    <row r="41" ht="28" customHeight="1">
      <c r="A41" s="36" t="inlineStr">
        <is>
          <t>Projection Item</t>
        </is>
      </c>
      <c r="B41" s="36" t="inlineStr">
        <is>
          <t>Assumption / Basis</t>
        </is>
      </c>
      <c r="C41" s="36" t="inlineStr">
        <is>
          <t>Apr 2026</t>
        </is>
      </c>
      <c r="D41" s="36" t="inlineStr">
        <is>
          <t>May 2026</t>
        </is>
      </c>
      <c r="E41" s="36" t="inlineStr">
        <is>
          <t>Jun 2026</t>
        </is>
      </c>
      <c r="F41" s="36" t="inlineStr">
        <is>
          <t>Jul 2026</t>
        </is>
      </c>
      <c r="G41" s="36" t="inlineStr">
        <is>
          <t>Aug 2026</t>
        </is>
      </c>
      <c r="H41" s="36" t="inlineStr">
        <is>
          <t>Sep 2026</t>
        </is>
      </c>
      <c r="I41" s="36" t="inlineStr">
        <is>
          <t>6-Mo TOTAL</t>
        </is>
      </c>
      <c r="J41" s="36" t="inlineStr">
        <is>
          <t>Notes</t>
        </is>
      </c>
    </row>
    <row r="42">
      <c r="A42" s="37" t="inlineStr">
        <is>
          <t>Expected Enrolment (Students)</t>
        </is>
      </c>
      <c r="B42" s="38" t="inlineStr">
        <is>
          <t>No. of enrolled students</t>
        </is>
      </c>
      <c r="C42" s="45" t="n">
        <v>0</v>
      </c>
      <c r="D42" s="45" t="n">
        <v>0</v>
      </c>
      <c r="E42" s="45" t="n">
        <v>0</v>
      </c>
      <c r="F42" s="45" t="n">
        <v>0</v>
      </c>
      <c r="G42" s="45" t="n">
        <v>0</v>
      </c>
      <c r="H42" s="45" t="n">
        <v>0</v>
      </c>
      <c r="I42" s="46">
        <f>SUM(C42:H42)</f>
        <v/>
      </c>
      <c r="J42" s="47" t="inlineStr"/>
      <c r="K42" s="26" t="inlineStr"/>
      <c r="L42" s="26" t="inlineStr"/>
      <c r="M42" s="26" t="inlineStr"/>
      <c r="N42" s="26" t="inlineStr"/>
      <c r="O42" s="26" t="inlineStr"/>
    </row>
    <row r="43">
      <c r="A43" s="12" t="inlineStr">
        <is>
          <t>Avg Monthly Fee per Student (PKR)</t>
        </is>
      </c>
      <c r="B43" s="24" t="inlineStr">
        <is>
          <t>Blended average</t>
        </is>
      </c>
      <c r="C43" s="15" t="n">
        <v>0</v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40">
        <f>SUM(C43:H43)</f>
        <v/>
      </c>
      <c r="J43" s="13" t="inlineStr"/>
      <c r="K43" s="26" t="inlineStr"/>
      <c r="L43" s="26" t="inlineStr"/>
      <c r="M43" s="26" t="inlineStr"/>
      <c r="N43" s="26" t="inlineStr"/>
      <c r="O43" s="26" t="inlineStr"/>
    </row>
    <row r="44">
      <c r="A44" s="37" t="inlineStr">
        <is>
          <t>Projected Tuition Revenue (PKR)</t>
        </is>
      </c>
      <c r="B44" s="38" t="inlineStr">
        <is>
          <t>Enrolment × Avg Fee</t>
        </is>
      </c>
      <c r="C44" s="39" t="n">
        <v>0</v>
      </c>
      <c r="D44" s="39" t="n">
        <v>0</v>
      </c>
      <c r="E44" s="39" t="n">
        <v>0</v>
      </c>
      <c r="F44" s="39" t="n">
        <v>0</v>
      </c>
      <c r="G44" s="39" t="n">
        <v>0</v>
      </c>
      <c r="H44" s="39" t="n">
        <v>0</v>
      </c>
      <c r="I44" s="40">
        <f>SUM(C44:H44)</f>
        <v/>
      </c>
      <c r="J44" s="47" t="inlineStr"/>
      <c r="K44" s="26" t="inlineStr"/>
      <c r="L44" s="26" t="inlineStr"/>
      <c r="M44" s="26" t="inlineStr"/>
      <c r="N44" s="26" t="inlineStr"/>
      <c r="O44" s="26" t="inlineStr"/>
    </row>
    <row r="45">
      <c r="A45" s="12" t="inlineStr">
        <is>
          <t>Other Income (PKR)</t>
        </is>
      </c>
      <c r="B45" s="24" t="inlineStr">
        <is>
          <t>Admissions + grants etc.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40">
        <f>SUM(C45:H45)</f>
        <v/>
      </c>
      <c r="J45" s="13" t="inlineStr"/>
      <c r="K45" s="26" t="inlineStr"/>
      <c r="L45" s="26" t="inlineStr"/>
      <c r="M45" s="26" t="inlineStr"/>
      <c r="N45" s="26" t="inlineStr"/>
      <c r="O45" s="26" t="inlineStr"/>
    </row>
    <row r="46">
      <c r="A46" s="37" t="inlineStr">
        <is>
          <t>Total Projected Income (PKR)</t>
        </is>
      </c>
      <c r="B46" s="38" t="inlineStr">
        <is>
          <t>Sum of all income</t>
        </is>
      </c>
      <c r="C46" s="39" t="n">
        <v>0</v>
      </c>
      <c r="D46" s="39" t="n">
        <v>0</v>
      </c>
      <c r="E46" s="39" t="n">
        <v>0</v>
      </c>
      <c r="F46" s="39" t="n">
        <v>0</v>
      </c>
      <c r="G46" s="39" t="n">
        <v>0</v>
      </c>
      <c r="H46" s="39" t="n">
        <v>0</v>
      </c>
      <c r="I46" s="40">
        <f>SUM(C46:H46)</f>
        <v/>
      </c>
      <c r="J46" s="47" t="inlineStr"/>
      <c r="K46" s="26" t="inlineStr"/>
      <c r="L46" s="26" t="inlineStr"/>
      <c r="M46" s="26" t="inlineStr"/>
      <c r="N46" s="26" t="inlineStr"/>
      <c r="O46" s="26" t="inlineStr"/>
    </row>
    <row r="47">
      <c r="A47" s="12" t="inlineStr">
        <is>
          <t>Staff Salaries (PKR)</t>
        </is>
      </c>
      <c r="B47" s="24" t="inlineStr">
        <is>
          <t>Teaching + admin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40">
        <f>SUM(C47:H47)</f>
        <v/>
      </c>
      <c r="J47" s="13" t="inlineStr"/>
      <c r="K47" s="26" t="inlineStr"/>
      <c r="L47" s="26" t="inlineStr"/>
      <c r="M47" s="26" t="inlineStr"/>
      <c r="N47" s="26" t="inlineStr"/>
      <c r="O47" s="26" t="inlineStr"/>
    </row>
    <row r="48">
      <c r="A48" s="37" t="inlineStr">
        <is>
          <t>Rental Cost (PKR)</t>
        </is>
      </c>
      <c r="B48" s="38" t="inlineStr">
        <is>
          <t>Fixed monthly rent</t>
        </is>
      </c>
      <c r="C48" s="39" t="n">
        <v>0</v>
      </c>
      <c r="D48" s="39" t="n">
        <v>0</v>
      </c>
      <c r="E48" s="39" t="n">
        <v>0</v>
      </c>
      <c r="F48" s="39" t="n">
        <v>0</v>
      </c>
      <c r="G48" s="39" t="n">
        <v>0</v>
      </c>
      <c r="H48" s="39" t="n">
        <v>0</v>
      </c>
      <c r="I48" s="40">
        <f>SUM(C48:H48)</f>
        <v/>
      </c>
      <c r="J48" s="47" t="inlineStr"/>
      <c r="K48" s="26" t="inlineStr"/>
      <c r="L48" s="26" t="inlineStr"/>
      <c r="M48" s="26" t="inlineStr"/>
      <c r="N48" s="26" t="inlineStr"/>
      <c r="O48" s="26" t="inlineStr"/>
    </row>
    <row r="49">
      <c r="A49" s="12" t="inlineStr">
        <is>
          <t>Utilities (PKR)</t>
        </is>
      </c>
      <c r="B49" s="24" t="inlineStr">
        <is>
          <t>Electricity + gas + water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40">
        <f>SUM(C49:H49)</f>
        <v/>
      </c>
      <c r="J49" s="13" t="inlineStr"/>
      <c r="K49" s="26" t="inlineStr"/>
      <c r="L49" s="26" t="inlineStr"/>
      <c r="M49" s="26" t="inlineStr"/>
      <c r="N49" s="26" t="inlineStr"/>
      <c r="O49" s="26" t="inlineStr"/>
    </row>
    <row r="50">
      <c r="A50" s="37" t="inlineStr">
        <is>
          <t>Operations Budget (PKR)</t>
        </is>
      </c>
      <c r="B50" s="38" t="inlineStr">
        <is>
          <t>Materials + misc</t>
        </is>
      </c>
      <c r="C50" s="39" t="n">
        <v>0</v>
      </c>
      <c r="D50" s="39" t="n">
        <v>0</v>
      </c>
      <c r="E50" s="39" t="n">
        <v>0</v>
      </c>
      <c r="F50" s="39" t="n">
        <v>0</v>
      </c>
      <c r="G50" s="39" t="n">
        <v>0</v>
      </c>
      <c r="H50" s="39" t="n">
        <v>0</v>
      </c>
      <c r="I50" s="40">
        <f>SUM(C50:H50)</f>
        <v/>
      </c>
      <c r="J50" s="47" t="inlineStr"/>
      <c r="K50" s="26" t="inlineStr"/>
      <c r="L50" s="26" t="inlineStr"/>
      <c r="M50" s="26" t="inlineStr"/>
      <c r="N50" s="26" t="inlineStr"/>
      <c r="O50" s="26" t="inlineStr"/>
    </row>
    <row r="51">
      <c r="A51" s="12" t="inlineStr">
        <is>
          <t>Total Projected Expenses (PKR)</t>
        </is>
      </c>
      <c r="B51" s="24" t="inlineStr">
        <is>
          <t>Sum of all expenses</t>
        </is>
      </c>
      <c r="C51" s="15" t="n">
        <v>0</v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0</v>
      </c>
      <c r="I51" s="40">
        <f>SUM(C51:H51)</f>
        <v/>
      </c>
      <c r="J51" s="13" t="inlineStr"/>
      <c r="K51" s="26" t="inlineStr"/>
      <c r="L51" s="26" t="inlineStr"/>
      <c r="M51" s="26" t="inlineStr"/>
      <c r="N51" s="26" t="inlineStr"/>
      <c r="O51" s="26" t="inlineStr"/>
    </row>
    <row r="52">
      <c r="A52" s="37" t="inlineStr">
        <is>
          <t>Projected Surplus / Deficit (PKR)</t>
        </is>
      </c>
      <c r="B52" s="38" t="inlineStr">
        <is>
          <t>Income – Expenses</t>
        </is>
      </c>
      <c r="C52" s="39" t="n">
        <v>0</v>
      </c>
      <c r="D52" s="39" t="n">
        <v>0</v>
      </c>
      <c r="E52" s="39" t="n">
        <v>0</v>
      </c>
      <c r="F52" s="39" t="n">
        <v>0</v>
      </c>
      <c r="G52" s="39" t="n">
        <v>0</v>
      </c>
      <c r="H52" s="39" t="n">
        <v>0</v>
      </c>
      <c r="I52" s="40">
        <f>SUM(C52:H52)</f>
        <v/>
      </c>
      <c r="J52" s="47" t="inlineStr"/>
      <c r="K52" s="26" t="inlineStr"/>
      <c r="L52" s="26" t="inlineStr"/>
      <c r="M52" s="26" t="inlineStr"/>
      <c r="N52" s="26" t="inlineStr"/>
      <c r="O52" s="26" t="inlineStr"/>
    </row>
    <row r="53">
      <c r="A53" s="12" t="inlineStr">
        <is>
          <t>Break-even Enrolment</t>
        </is>
      </c>
      <c r="B53" s="24" t="inlineStr">
        <is>
          <t>Expenses ÷ Avg Fee</t>
        </is>
      </c>
      <c r="C53" s="16" t="n">
        <v>0</v>
      </c>
      <c r="D53" s="16" t="n">
        <v>0</v>
      </c>
      <c r="E53" s="16" t="n">
        <v>0</v>
      </c>
      <c r="F53" s="16" t="n">
        <v>0</v>
      </c>
      <c r="G53" s="16" t="n">
        <v>0</v>
      </c>
      <c r="H53" s="16" t="n">
        <v>0</v>
      </c>
      <c r="I53" s="46">
        <f>SUM(C53:H53)</f>
        <v/>
      </c>
      <c r="J53" s="13" t="inlineStr"/>
      <c r="K53" s="26" t="inlineStr"/>
      <c r="L53" s="26" t="inlineStr"/>
      <c r="M53" s="26" t="inlineStr"/>
      <c r="N53" s="26" t="inlineStr"/>
      <c r="O53" s="26" t="inlineStr"/>
    </row>
    <row r="54">
      <c r="A54" s="37" t="inlineStr">
        <is>
          <t>Capacity Utilisation (%)</t>
        </is>
      </c>
      <c r="B54" s="38" t="inlineStr">
        <is>
          <t>Enrolled ÷ Max capacity</t>
        </is>
      </c>
      <c r="C54" s="45" t="n">
        <v>0</v>
      </c>
      <c r="D54" s="45" t="n">
        <v>0</v>
      </c>
      <c r="E54" s="45" t="n">
        <v>0</v>
      </c>
      <c r="F54" s="45" t="n">
        <v>0</v>
      </c>
      <c r="G54" s="45" t="n">
        <v>0</v>
      </c>
      <c r="H54" s="45" t="n">
        <v>0</v>
      </c>
      <c r="I54" s="46">
        <f>AVERAGE(C54:H54)</f>
        <v/>
      </c>
      <c r="J54" s="47" t="inlineStr"/>
      <c r="K54" s="26" t="inlineStr"/>
      <c r="L54" s="26" t="inlineStr"/>
      <c r="M54" s="26" t="inlineStr"/>
      <c r="N54" s="26" t="inlineStr"/>
      <c r="O54" s="26" t="inlineStr"/>
    </row>
    <row r="56" ht="24" customHeight="1">
      <c r="A56" s="35" t="inlineStr">
        <is>
          <t>SECTION D  ─  COSTING PROJECTION  (Per-Student &amp; Operational)</t>
        </is>
      </c>
    </row>
    <row r="57" ht="28" customHeight="1">
      <c r="A57" s="36" t="inlineStr">
        <is>
          <t>Cost Item</t>
        </is>
      </c>
      <c r="B57" s="36" t="inlineStr">
        <is>
          <t>Cost Driver / Basis</t>
        </is>
      </c>
      <c r="C57" s="36" t="inlineStr">
        <is>
          <t>Unit Cost (PKR)</t>
        </is>
      </c>
      <c r="D57" s="36" t="inlineStr">
        <is>
          <t>Est. Units/Mo</t>
        </is>
      </c>
      <c r="E57" s="36" t="inlineStr">
        <is>
          <t>Monthly Cost (PKR)</t>
        </is>
      </c>
      <c r="F57" s="36" t="inlineStr">
        <is>
          <t>Annual Cost (PKR)</t>
        </is>
      </c>
      <c r="G57" s="36" t="inlineStr">
        <is>
          <t>Cost per Student (PKR)</t>
        </is>
      </c>
      <c r="H57" s="36" t="inlineStr">
        <is>
          <t>Notes</t>
        </is>
      </c>
    </row>
    <row r="58">
      <c r="A58" s="37" t="inlineStr">
        <is>
          <t>Teaching Staff – Quran</t>
        </is>
      </c>
      <c r="B58" s="38" t="inlineStr">
        <is>
          <t>Per teacher × headcount</t>
        </is>
      </c>
      <c r="C58" s="39" t="n">
        <v>35000</v>
      </c>
      <c r="D58" s="45" t="n">
        <v>3</v>
      </c>
      <c r="E58" s="39">
        <f>C58*D58</f>
        <v/>
      </c>
      <c r="F58" s="39">
        <f>E58*12</f>
        <v/>
      </c>
      <c r="G58" s="39">
        <f>E58/60</f>
        <v/>
      </c>
      <c r="H58" s="47" t="inlineStr"/>
      <c r="I58" s="26" t="inlineStr"/>
      <c r="J58" s="26" t="inlineStr"/>
      <c r="K58" s="26" t="inlineStr"/>
      <c r="L58" s="26" t="inlineStr"/>
      <c r="M58" s="26" t="inlineStr"/>
      <c r="N58" s="26" t="inlineStr"/>
      <c r="O58" s="26" t="inlineStr"/>
    </row>
    <row r="59">
      <c r="A59" s="12" t="inlineStr">
        <is>
          <t>Teaching Staff – Academic</t>
        </is>
      </c>
      <c r="B59" s="24" t="inlineStr">
        <is>
          <t>Per teacher × headcount</t>
        </is>
      </c>
      <c r="C59" s="15" t="n">
        <v>30000</v>
      </c>
      <c r="D59" s="16" t="n">
        <v>2</v>
      </c>
      <c r="E59" s="15">
        <f>C59*D59</f>
        <v/>
      </c>
      <c r="F59" s="15">
        <f>E59*12</f>
        <v/>
      </c>
      <c r="G59" s="15">
        <f>E59/60</f>
        <v/>
      </c>
      <c r="H59" s="13" t="inlineStr"/>
      <c r="I59" s="26" t="inlineStr"/>
      <c r="J59" s="26" t="inlineStr"/>
      <c r="K59" s="26" t="inlineStr"/>
      <c r="L59" s="26" t="inlineStr"/>
      <c r="M59" s="26" t="inlineStr"/>
      <c r="N59" s="26" t="inlineStr"/>
      <c r="O59" s="26" t="inlineStr"/>
    </row>
    <row r="60">
      <c r="A60" s="37" t="inlineStr">
        <is>
          <t>Admin / Non-Teaching</t>
        </is>
      </c>
      <c r="B60" s="38" t="inlineStr">
        <is>
          <t>Receptionist + peon etc.</t>
        </is>
      </c>
      <c r="C60" s="39" t="n">
        <v>20000</v>
      </c>
      <c r="D60" s="45" t="n">
        <v>2</v>
      </c>
      <c r="E60" s="39">
        <f>C60*D60</f>
        <v/>
      </c>
      <c r="F60" s="39">
        <f>E60*12</f>
        <v/>
      </c>
      <c r="G60" s="39">
        <f>E60/60</f>
        <v/>
      </c>
      <c r="H60" s="47" t="inlineStr"/>
      <c r="I60" s="26" t="inlineStr"/>
      <c r="J60" s="26" t="inlineStr"/>
      <c r="K60" s="26" t="inlineStr"/>
      <c r="L60" s="26" t="inlineStr"/>
      <c r="M60" s="26" t="inlineStr"/>
      <c r="N60" s="26" t="inlineStr"/>
      <c r="O60" s="26" t="inlineStr"/>
    </row>
    <row r="61">
      <c r="A61" s="12" t="inlineStr">
        <is>
          <t>Rental – Main Building</t>
        </is>
      </c>
      <c r="B61" s="24" t="inlineStr">
        <is>
          <t>Full premises monthly</t>
        </is>
      </c>
      <c r="C61" s="15" t="n">
        <v>80000</v>
      </c>
      <c r="D61" s="16" t="n">
        <v>1</v>
      </c>
      <c r="E61" s="15">
        <f>C61*D61</f>
        <v/>
      </c>
      <c r="F61" s="15">
        <f>E61*12</f>
        <v/>
      </c>
      <c r="G61" s="15">
        <f>E61/60</f>
        <v/>
      </c>
      <c r="H61" s="13" t="inlineStr"/>
      <c r="I61" s="26" t="inlineStr"/>
      <c r="J61" s="26" t="inlineStr"/>
      <c r="K61" s="26" t="inlineStr"/>
      <c r="L61" s="26" t="inlineStr"/>
      <c r="M61" s="26" t="inlineStr"/>
      <c r="N61" s="26" t="inlineStr"/>
      <c r="O61" s="26" t="inlineStr"/>
    </row>
    <row r="62">
      <c r="A62" s="37" t="inlineStr">
        <is>
          <t>Electricity + Gas</t>
        </is>
      </c>
      <c r="B62" s="38" t="inlineStr">
        <is>
          <t>Estimated utility bundle</t>
        </is>
      </c>
      <c r="C62" s="39" t="n">
        <v>15000</v>
      </c>
      <c r="D62" s="45" t="n">
        <v>1</v>
      </c>
      <c r="E62" s="39">
        <f>C62*D62</f>
        <v/>
      </c>
      <c r="F62" s="39">
        <f>E62*12</f>
        <v/>
      </c>
      <c r="G62" s="39">
        <f>E62/60</f>
        <v/>
      </c>
      <c r="H62" s="47" t="inlineStr"/>
      <c r="I62" s="26" t="inlineStr"/>
      <c r="J62" s="26" t="inlineStr"/>
      <c r="K62" s="26" t="inlineStr"/>
      <c r="L62" s="26" t="inlineStr"/>
      <c r="M62" s="26" t="inlineStr"/>
      <c r="N62" s="26" t="inlineStr"/>
      <c r="O62" s="26" t="inlineStr"/>
    </row>
    <row r="63">
      <c r="A63" s="12" t="inlineStr">
        <is>
          <t>Internet &amp; Telephony</t>
        </is>
      </c>
      <c r="B63" s="24" t="inlineStr">
        <is>
          <t>Broadband + SIM</t>
        </is>
      </c>
      <c r="C63" s="15" t="n">
        <v>3000</v>
      </c>
      <c r="D63" s="16" t="n">
        <v>1</v>
      </c>
      <c r="E63" s="15">
        <f>C63*D63</f>
        <v/>
      </c>
      <c r="F63" s="15">
        <f>E63*12</f>
        <v/>
      </c>
      <c r="G63" s="15">
        <f>E63/60</f>
        <v/>
      </c>
      <c r="H63" s="13" t="inlineStr"/>
      <c r="I63" s="26" t="inlineStr"/>
      <c r="J63" s="26" t="inlineStr"/>
      <c r="K63" s="26" t="inlineStr"/>
      <c r="L63" s="26" t="inlineStr"/>
      <c r="M63" s="26" t="inlineStr"/>
      <c r="N63" s="26" t="inlineStr"/>
      <c r="O63" s="26" t="inlineStr"/>
    </row>
    <row r="64">
      <c r="A64" s="37" t="inlineStr">
        <is>
          <t>Books &amp; Stationery</t>
        </is>
      </c>
      <c r="B64" s="38" t="inlineStr">
        <is>
          <t>Per-student per month</t>
        </is>
      </c>
      <c r="C64" s="39" t="n">
        <v>1500</v>
      </c>
      <c r="D64" s="45" t="n">
        <v>1</v>
      </c>
      <c r="E64" s="39">
        <f>C64*D64</f>
        <v/>
      </c>
      <c r="F64" s="39">
        <f>E64*12</f>
        <v/>
      </c>
      <c r="G64" s="39">
        <f>E64/60</f>
        <v/>
      </c>
      <c r="H64" s="47" t="inlineStr"/>
      <c r="I64" s="26" t="inlineStr"/>
      <c r="J64" s="26" t="inlineStr"/>
      <c r="K64" s="26" t="inlineStr"/>
      <c r="L64" s="26" t="inlineStr"/>
      <c r="M64" s="26" t="inlineStr"/>
      <c r="N64" s="26" t="inlineStr"/>
      <c r="O64" s="26" t="inlineStr"/>
    </row>
    <row r="65">
      <c r="A65" s="12" t="inlineStr">
        <is>
          <t>Maintenance &amp; Repair</t>
        </is>
      </c>
      <c r="B65" s="24" t="inlineStr">
        <is>
          <t>Monthly provision</t>
        </is>
      </c>
      <c r="C65" s="15" t="n">
        <v>8000</v>
      </c>
      <c r="D65" s="16" t="n">
        <v>1</v>
      </c>
      <c r="E65" s="15">
        <f>C65*D65</f>
        <v/>
      </c>
      <c r="F65" s="15">
        <f>E65*12</f>
        <v/>
      </c>
      <c r="G65" s="15">
        <f>E65/60</f>
        <v/>
      </c>
      <c r="H65" s="13" t="inlineStr"/>
      <c r="I65" s="26" t="inlineStr"/>
      <c r="J65" s="26" t="inlineStr"/>
      <c r="K65" s="26" t="inlineStr"/>
      <c r="L65" s="26" t="inlineStr"/>
      <c r="M65" s="26" t="inlineStr"/>
      <c r="N65" s="26" t="inlineStr"/>
      <c r="O65" s="26" t="inlineStr"/>
    </row>
    <row r="66">
      <c r="A66" s="37" t="inlineStr">
        <is>
          <t>Marketing / Admissions</t>
        </is>
      </c>
      <c r="B66" s="38" t="inlineStr">
        <is>
          <t>Banners + digital + print</t>
        </is>
      </c>
      <c r="C66" s="39" t="n">
        <v>5000</v>
      </c>
      <c r="D66" s="45" t="n">
        <v>1</v>
      </c>
      <c r="E66" s="39">
        <f>C66*D66</f>
        <v/>
      </c>
      <c r="F66" s="39">
        <f>E66*12</f>
        <v/>
      </c>
      <c r="G66" s="39">
        <f>E66/60</f>
        <v/>
      </c>
      <c r="H66" s="47" t="inlineStr"/>
      <c r="I66" s="26" t="inlineStr"/>
      <c r="J66" s="26" t="inlineStr"/>
      <c r="K66" s="26" t="inlineStr"/>
      <c r="L66" s="26" t="inlineStr"/>
      <c r="M66" s="26" t="inlineStr"/>
      <c r="N66" s="26" t="inlineStr"/>
      <c r="O66" s="26" t="inlineStr"/>
    </row>
    <row r="67">
      <c r="A67" s="12" t="inlineStr">
        <is>
          <t>First Aid &amp; Safety</t>
        </is>
      </c>
      <c r="B67" s="24" t="inlineStr">
        <is>
          <t>Monthly provision</t>
        </is>
      </c>
      <c r="C67" s="15" t="n">
        <v>2000</v>
      </c>
      <c r="D67" s="16" t="n">
        <v>1</v>
      </c>
      <c r="E67" s="15">
        <f>C67*D67</f>
        <v/>
      </c>
      <c r="F67" s="15">
        <f>E67*12</f>
        <v/>
      </c>
      <c r="G67" s="15">
        <f>E67/60</f>
        <v/>
      </c>
      <c r="H67" s="13" t="inlineStr"/>
      <c r="I67" s="26" t="inlineStr"/>
      <c r="J67" s="26" t="inlineStr"/>
      <c r="K67" s="26" t="inlineStr"/>
      <c r="L67" s="26" t="inlineStr"/>
      <c r="M67" s="26" t="inlineStr"/>
      <c r="N67" s="26" t="inlineStr"/>
      <c r="O67" s="26" t="inlineStr"/>
    </row>
    <row r="68">
      <c r="A68" s="37" t="inlineStr">
        <is>
          <t>Prayer Hall Supplies</t>
        </is>
      </c>
      <c r="B68" s="38" t="inlineStr">
        <is>
          <t>Quran stands, mats, oud</t>
        </is>
      </c>
      <c r="C68" s="39" t="n">
        <v>3000</v>
      </c>
      <c r="D68" s="45" t="n">
        <v>1</v>
      </c>
      <c r="E68" s="39">
        <f>C68*D68</f>
        <v/>
      </c>
      <c r="F68" s="39">
        <f>E68*12</f>
        <v/>
      </c>
      <c r="G68" s="39">
        <f>E68/60</f>
        <v/>
      </c>
      <c r="H68" s="47" t="inlineStr"/>
      <c r="I68" s="26" t="inlineStr"/>
      <c r="J68" s="26" t="inlineStr"/>
      <c r="K68" s="26" t="inlineStr"/>
      <c r="L68" s="26" t="inlineStr"/>
      <c r="M68" s="26" t="inlineStr"/>
      <c r="N68" s="26" t="inlineStr"/>
      <c r="O68" s="26" t="inlineStr"/>
    </row>
    <row r="69">
      <c r="A69" s="12" t="inlineStr">
        <is>
          <t>Miscellaneous Buffer</t>
        </is>
      </c>
      <c r="B69" s="24" t="inlineStr">
        <is>
          <t>5% contingency</t>
        </is>
      </c>
      <c r="C69" s="15" t="n">
        <v>0</v>
      </c>
      <c r="D69" s="16" t="n">
        <v>1</v>
      </c>
      <c r="E69" s="15">
        <f>C69*D69</f>
        <v/>
      </c>
      <c r="F69" s="15">
        <f>E69*12</f>
        <v/>
      </c>
      <c r="G69" s="15">
        <f>E69/60</f>
        <v/>
      </c>
      <c r="H69" s="13" t="inlineStr"/>
      <c r="I69" s="26" t="inlineStr"/>
      <c r="J69" s="26" t="inlineStr"/>
      <c r="K69" s="26" t="inlineStr"/>
      <c r="L69" s="26" t="inlineStr"/>
      <c r="M69" s="26" t="inlineStr"/>
      <c r="N69" s="26" t="inlineStr"/>
      <c r="O69" s="26" t="inlineStr"/>
    </row>
    <row r="70">
      <c r="A70" s="41" t="inlineStr">
        <is>
          <t>TOTAL MONTHLY OPERATING COST</t>
        </is>
      </c>
      <c r="C70" s="48" t="n"/>
      <c r="D70" s="48" t="n"/>
      <c r="E70" s="42">
        <f>SUM(E58:E69)</f>
        <v/>
      </c>
      <c r="F70" s="42">
        <f>SUM(F58:F69)</f>
        <v/>
      </c>
      <c r="G70" s="48" t="n"/>
      <c r="H70" s="48" t="n"/>
    </row>
    <row r="72" ht="24" customHeight="1">
      <c r="A72" s="35" t="inlineStr">
        <is>
          <t>SECTION E  ─  RESOURCE REQUISITION PROJECTION  (Next 6 Months)</t>
        </is>
      </c>
    </row>
    <row r="73" ht="28" customHeight="1">
      <c r="A73" s="36" t="inlineStr">
        <is>
          <t>Resource / Item</t>
        </is>
      </c>
      <c r="B73" s="36" t="inlineStr">
        <is>
          <t>Category</t>
        </is>
      </c>
      <c r="C73" s="36" t="inlineStr">
        <is>
          <t>Qty</t>
        </is>
      </c>
      <c r="D73" s="36" t="inlineStr">
        <is>
          <t>Unit</t>
        </is>
      </c>
      <c r="E73" s="36" t="inlineStr">
        <is>
          <t>Unit Cost (PKR)</t>
        </is>
      </c>
      <c r="F73" s="36" t="inlineStr">
        <is>
          <t>Total Cost (PKR)</t>
        </is>
      </c>
      <c r="G73" s="36" t="inlineStr">
        <is>
          <t>Required By</t>
        </is>
      </c>
      <c r="H73" s="36" t="inlineStr">
        <is>
          <t>Priority</t>
        </is>
      </c>
      <c r="I73" s="36" t="inlineStr">
        <is>
          <t>Vendor / Source</t>
        </is>
      </c>
      <c r="J73" s="36" t="inlineStr">
        <is>
          <t>Status</t>
        </is>
      </c>
      <c r="K73" s="36" t="inlineStr">
        <is>
          <t>Notes</t>
        </is>
      </c>
    </row>
    <row r="74">
      <c r="A74" s="37" t="inlineStr">
        <is>
          <t>CCTV Security System</t>
        </is>
      </c>
      <c r="B74" s="47" t="inlineStr">
        <is>
          <t>Infrastructure</t>
        </is>
      </c>
      <c r="C74" s="45" t="n">
        <v>6</v>
      </c>
      <c r="D74" s="47" t="inlineStr">
        <is>
          <t>Camera</t>
        </is>
      </c>
      <c r="E74" s="39" t="n">
        <v>12000</v>
      </c>
      <c r="F74" s="39">
        <f>C74*E74</f>
        <v/>
      </c>
      <c r="G74" s="47" t="inlineStr">
        <is>
          <t>Apr 2026</t>
        </is>
      </c>
      <c r="H74" s="49" t="inlineStr">
        <is>
          <t>High</t>
        </is>
      </c>
      <c r="I74" s="47" t="inlineStr">
        <is>
          <t>Local Vendor</t>
        </is>
      </c>
      <c r="J74" s="47" t="inlineStr">
        <is>
          <t>Planned</t>
        </is>
      </c>
      <c r="K74" s="47" t="inlineStr"/>
      <c r="L74" s="26" t="inlineStr"/>
      <c r="M74" s="26" t="inlineStr"/>
      <c r="N74" s="26" t="inlineStr"/>
      <c r="O74" s="26" t="inlineStr"/>
    </row>
    <row r="75">
      <c r="A75" s="12" t="inlineStr">
        <is>
          <t>Whiteboards (Large)</t>
        </is>
      </c>
      <c r="B75" s="13" t="inlineStr">
        <is>
          <t>Furniture</t>
        </is>
      </c>
      <c r="C75" s="16" t="n">
        <v>8</v>
      </c>
      <c r="D75" s="13" t="inlineStr">
        <is>
          <t>Unit</t>
        </is>
      </c>
      <c r="E75" s="15" t="n">
        <v>4500</v>
      </c>
      <c r="F75" s="15">
        <f>C75*E75</f>
        <v/>
      </c>
      <c r="G75" s="13" t="inlineStr">
        <is>
          <t>Apr 2026</t>
        </is>
      </c>
      <c r="H75" s="49" t="inlineStr">
        <is>
          <t>High</t>
        </is>
      </c>
      <c r="I75" s="13" t="inlineStr">
        <is>
          <t>Stationers</t>
        </is>
      </c>
      <c r="J75" s="13" t="inlineStr">
        <is>
          <t>Planned</t>
        </is>
      </c>
      <c r="K75" s="13" t="inlineStr"/>
      <c r="L75" s="26" t="inlineStr"/>
      <c r="M75" s="26" t="inlineStr"/>
      <c r="N75" s="26" t="inlineStr"/>
      <c r="O75" s="26" t="inlineStr"/>
    </row>
    <row r="76">
      <c r="A76" s="37" t="inlineStr">
        <is>
          <t>Student Chairs &amp; Desks</t>
        </is>
      </c>
      <c r="B76" s="47" t="inlineStr">
        <is>
          <t>Furniture</t>
        </is>
      </c>
      <c r="C76" s="45" t="n">
        <v>30</v>
      </c>
      <c r="D76" s="47" t="inlineStr">
        <is>
          <t>Set</t>
        </is>
      </c>
      <c r="E76" s="39" t="n">
        <v>3500</v>
      </c>
      <c r="F76" s="39">
        <f>C76*E76</f>
        <v/>
      </c>
      <c r="G76" s="47" t="inlineStr">
        <is>
          <t>Apr 2026</t>
        </is>
      </c>
      <c r="H76" s="50" t="inlineStr">
        <is>
          <t>Critical</t>
        </is>
      </c>
      <c r="I76" s="47" t="inlineStr">
        <is>
          <t>Local Manufacturer</t>
        </is>
      </c>
      <c r="J76" s="47" t="inlineStr">
        <is>
          <t>Ordered</t>
        </is>
      </c>
      <c r="K76" s="47" t="inlineStr"/>
      <c r="L76" s="26" t="inlineStr"/>
      <c r="M76" s="26" t="inlineStr"/>
      <c r="N76" s="26" t="inlineStr"/>
      <c r="O76" s="26" t="inlineStr"/>
    </row>
    <row r="77">
      <c r="A77" s="12" t="inlineStr">
        <is>
          <t>Quran Stands (Rehal)</t>
        </is>
      </c>
      <c r="B77" s="13" t="inlineStr">
        <is>
          <t>Prayer Supplies</t>
        </is>
      </c>
      <c r="C77" s="16" t="n">
        <v>20</v>
      </c>
      <c r="D77" s="13" t="inlineStr">
        <is>
          <t>Unit</t>
        </is>
      </c>
      <c r="E77" s="15" t="n">
        <v>800</v>
      </c>
      <c r="F77" s="15">
        <f>C77*E77</f>
        <v/>
      </c>
      <c r="G77" s="13" t="inlineStr">
        <is>
          <t>Apr 2026</t>
        </is>
      </c>
      <c r="H77" s="51" t="inlineStr">
        <is>
          <t>Medium</t>
        </is>
      </c>
      <c r="I77" s="13" t="inlineStr">
        <is>
          <t>Islamic Bookstore</t>
        </is>
      </c>
      <c r="J77" s="13" t="inlineStr">
        <is>
          <t>Planned</t>
        </is>
      </c>
      <c r="K77" s="13" t="inlineStr"/>
      <c r="L77" s="26" t="inlineStr"/>
      <c r="M77" s="26" t="inlineStr"/>
      <c r="N77" s="26" t="inlineStr"/>
      <c r="O77" s="26" t="inlineStr"/>
    </row>
    <row r="78">
      <c r="A78" s="37" t="inlineStr">
        <is>
          <t>Prayer Mats</t>
        </is>
      </c>
      <c r="B78" s="47" t="inlineStr">
        <is>
          <t>Prayer Supplies</t>
        </is>
      </c>
      <c r="C78" s="45" t="n">
        <v>25</v>
      </c>
      <c r="D78" s="47" t="inlineStr">
        <is>
          <t>Mat</t>
        </is>
      </c>
      <c r="E78" s="39" t="n">
        <v>1200</v>
      </c>
      <c r="F78" s="39">
        <f>C78*E78</f>
        <v/>
      </c>
      <c r="G78" s="47" t="inlineStr">
        <is>
          <t>May 2026</t>
        </is>
      </c>
      <c r="H78" s="51" t="inlineStr">
        <is>
          <t>Medium</t>
        </is>
      </c>
      <c r="I78" s="47" t="inlineStr">
        <is>
          <t>Islamic Bookstore</t>
        </is>
      </c>
      <c r="J78" s="47" t="inlineStr">
        <is>
          <t>Planned</t>
        </is>
      </c>
      <c r="K78" s="47" t="inlineStr"/>
      <c r="L78" s="26" t="inlineStr"/>
      <c r="M78" s="26" t="inlineStr"/>
      <c r="N78" s="26" t="inlineStr"/>
      <c r="O78" s="26" t="inlineStr"/>
    </row>
    <row r="79">
      <c r="A79" s="12" t="inlineStr">
        <is>
          <t>Projector &amp; Screen</t>
        </is>
      </c>
      <c r="B79" s="13" t="inlineStr">
        <is>
          <t>AV Equipment</t>
        </is>
      </c>
      <c r="C79" s="16" t="n">
        <v>2</v>
      </c>
      <c r="D79" s="13" t="inlineStr">
        <is>
          <t>Set</t>
        </is>
      </c>
      <c r="E79" s="15" t="n">
        <v>45000</v>
      </c>
      <c r="F79" s="15">
        <f>C79*E79</f>
        <v/>
      </c>
      <c r="G79" s="13" t="inlineStr">
        <is>
          <t>May 2026</t>
        </is>
      </c>
      <c r="H79" s="49" t="inlineStr">
        <is>
          <t>High</t>
        </is>
      </c>
      <c r="I79" s="13" t="inlineStr">
        <is>
          <t>Electronics Shop</t>
        </is>
      </c>
      <c r="J79" s="13" t="inlineStr">
        <is>
          <t>Pending</t>
        </is>
      </c>
      <c r="K79" s="13" t="inlineStr"/>
      <c r="L79" s="26" t="inlineStr"/>
      <c r="M79" s="26" t="inlineStr"/>
      <c r="N79" s="26" t="inlineStr"/>
      <c r="O79" s="26" t="inlineStr"/>
    </row>
    <row r="80">
      <c r="A80" s="37" t="inlineStr">
        <is>
          <t>Printer (A4 Laser)</t>
        </is>
      </c>
      <c r="B80" s="47" t="inlineStr">
        <is>
          <t>IT Equipment</t>
        </is>
      </c>
      <c r="C80" s="45" t="n">
        <v>2</v>
      </c>
      <c r="D80" s="47" t="inlineStr">
        <is>
          <t>Unit</t>
        </is>
      </c>
      <c r="E80" s="39" t="n">
        <v>35000</v>
      </c>
      <c r="F80" s="39">
        <f>C80*E80</f>
        <v/>
      </c>
      <c r="G80" s="47" t="inlineStr">
        <is>
          <t>May 2026</t>
        </is>
      </c>
      <c r="H80" s="49" t="inlineStr">
        <is>
          <t>High</t>
        </is>
      </c>
      <c r="I80" s="47" t="inlineStr">
        <is>
          <t>IT Vendor</t>
        </is>
      </c>
      <c r="J80" s="47" t="inlineStr">
        <is>
          <t>Pending</t>
        </is>
      </c>
      <c r="K80" s="47" t="inlineStr"/>
      <c r="L80" s="26" t="inlineStr"/>
      <c r="M80" s="26" t="inlineStr"/>
      <c r="N80" s="26" t="inlineStr"/>
      <c r="O80" s="26" t="inlineStr"/>
    </row>
    <row r="81">
      <c r="A81" s="12" t="inlineStr">
        <is>
          <t>First Aid Kit</t>
        </is>
      </c>
      <c r="B81" s="13" t="inlineStr">
        <is>
          <t>Health &amp; Safety</t>
        </is>
      </c>
      <c r="C81" s="16" t="n">
        <v>3</v>
      </c>
      <c r="D81" s="13" t="inlineStr">
        <is>
          <t>Kit</t>
        </is>
      </c>
      <c r="E81" s="15" t="n">
        <v>3000</v>
      </c>
      <c r="F81" s="15">
        <f>C81*E81</f>
        <v/>
      </c>
      <c r="G81" s="13" t="inlineStr">
        <is>
          <t>Jun 2026</t>
        </is>
      </c>
      <c r="H81" s="49" t="inlineStr">
        <is>
          <t>High</t>
        </is>
      </c>
      <c r="I81" s="13" t="inlineStr">
        <is>
          <t>Pharmacy</t>
        </is>
      </c>
      <c r="J81" s="13" t="inlineStr">
        <is>
          <t>Planned</t>
        </is>
      </c>
      <c r="K81" s="13" t="inlineStr"/>
      <c r="L81" s="26" t="inlineStr"/>
      <c r="M81" s="26" t="inlineStr"/>
      <c r="N81" s="26" t="inlineStr"/>
      <c r="O81" s="26" t="inlineStr"/>
    </row>
    <row r="82">
      <c r="A82" s="37" t="inlineStr">
        <is>
          <t>Fire Extinguishers</t>
        </is>
      </c>
      <c r="B82" s="47" t="inlineStr">
        <is>
          <t>Safety</t>
        </is>
      </c>
      <c r="C82" s="45" t="n">
        <v>4</v>
      </c>
      <c r="D82" s="47" t="inlineStr">
        <is>
          <t>Unit</t>
        </is>
      </c>
      <c r="E82" s="39" t="n">
        <v>5500</v>
      </c>
      <c r="F82" s="39">
        <f>C82*E82</f>
        <v/>
      </c>
      <c r="G82" s="47" t="inlineStr">
        <is>
          <t>Jun 2026</t>
        </is>
      </c>
      <c r="H82" s="50" t="inlineStr">
        <is>
          <t>Critical</t>
        </is>
      </c>
      <c r="I82" s="47" t="inlineStr">
        <is>
          <t>Safety Supplier</t>
        </is>
      </c>
      <c r="J82" s="47" t="inlineStr">
        <is>
          <t>Planned</t>
        </is>
      </c>
      <c r="K82" s="47" t="inlineStr"/>
      <c r="L82" s="26" t="inlineStr"/>
      <c r="M82" s="26" t="inlineStr"/>
      <c r="N82" s="26" t="inlineStr"/>
      <c r="O82" s="26" t="inlineStr"/>
    </row>
    <row r="83">
      <c r="A83" s="12" t="inlineStr">
        <is>
          <t>Air Coolers / AC Units</t>
        </is>
      </c>
      <c r="B83" s="13" t="inlineStr">
        <is>
          <t>Climate Control</t>
        </is>
      </c>
      <c r="C83" s="16" t="n">
        <v>4</v>
      </c>
      <c r="D83" s="13" t="inlineStr">
        <is>
          <t>Unit</t>
        </is>
      </c>
      <c r="E83" s="15" t="n">
        <v>55000</v>
      </c>
      <c r="F83" s="15">
        <f>C83*E83</f>
        <v/>
      </c>
      <c r="G83" s="13" t="inlineStr">
        <is>
          <t>Jun 2026</t>
        </is>
      </c>
      <c r="H83" s="49" t="inlineStr">
        <is>
          <t>High</t>
        </is>
      </c>
      <c r="I83" s="13" t="inlineStr">
        <is>
          <t>Electronics Shop</t>
        </is>
      </c>
      <c r="J83" s="13" t="inlineStr">
        <is>
          <t>Evaluating</t>
        </is>
      </c>
      <c r="K83" s="13" t="inlineStr"/>
      <c r="L83" s="26" t="inlineStr"/>
      <c r="M83" s="26" t="inlineStr"/>
      <c r="N83" s="26" t="inlineStr"/>
      <c r="O83" s="26" t="inlineStr"/>
    </row>
    <row r="84">
      <c r="A84" s="37" t="inlineStr">
        <is>
          <t>School Signboard &amp; Branding</t>
        </is>
      </c>
      <c r="B84" s="47" t="inlineStr">
        <is>
          <t>Marketing</t>
        </is>
      </c>
      <c r="C84" s="45" t="n">
        <v>1</v>
      </c>
      <c r="D84" s="47" t="inlineStr">
        <is>
          <t>Set</t>
        </is>
      </c>
      <c r="E84" s="39" t="n">
        <v>25000</v>
      </c>
      <c r="F84" s="39">
        <f>C84*E84</f>
        <v/>
      </c>
      <c r="G84" s="47" t="inlineStr">
        <is>
          <t>Jul 2026</t>
        </is>
      </c>
      <c r="H84" s="51" t="inlineStr">
        <is>
          <t>Medium</t>
        </is>
      </c>
      <c r="I84" s="47" t="inlineStr">
        <is>
          <t>Signage Printer</t>
        </is>
      </c>
      <c r="J84" s="47" t="inlineStr">
        <is>
          <t>Planned</t>
        </is>
      </c>
      <c r="K84" s="47" t="inlineStr"/>
      <c r="L84" s="26" t="inlineStr"/>
      <c r="M84" s="26" t="inlineStr"/>
      <c r="N84" s="26" t="inlineStr"/>
      <c r="O84" s="26" t="inlineStr"/>
    </row>
    <row r="85">
      <c r="A85" s="12" t="inlineStr">
        <is>
          <t>Library Books (Islamic)</t>
        </is>
      </c>
      <c r="B85" s="13" t="inlineStr">
        <is>
          <t>Library</t>
        </is>
      </c>
      <c r="C85" s="16" t="n">
        <v>100</v>
      </c>
      <c r="D85" s="13" t="inlineStr">
        <is>
          <t>Book</t>
        </is>
      </c>
      <c r="E85" s="15" t="n">
        <v>1500</v>
      </c>
      <c r="F85" s="15">
        <f>C85*E85</f>
        <v/>
      </c>
      <c r="G85" s="13" t="inlineStr">
        <is>
          <t>Jul 2026</t>
        </is>
      </c>
      <c r="H85" s="51" t="inlineStr">
        <is>
          <t>Medium</t>
        </is>
      </c>
      <c r="I85" s="13" t="inlineStr">
        <is>
          <t>Islamic Publishers</t>
        </is>
      </c>
      <c r="J85" s="13" t="inlineStr">
        <is>
          <t>Sourcing</t>
        </is>
      </c>
      <c r="K85" s="13" t="inlineStr"/>
      <c r="L85" s="26" t="inlineStr"/>
      <c r="M85" s="26" t="inlineStr"/>
      <c r="N85" s="26" t="inlineStr"/>
      <c r="O85" s="26" t="inlineStr"/>
    </row>
    <row r="86">
      <c r="A86" s="37" t="inlineStr">
        <is>
          <t>Computer Lab (Basic)</t>
        </is>
      </c>
      <c r="B86" s="47" t="inlineStr">
        <is>
          <t>IT Equipment</t>
        </is>
      </c>
      <c r="C86" s="45" t="n">
        <v>5</v>
      </c>
      <c r="D86" s="47" t="inlineStr">
        <is>
          <t>Unit</t>
        </is>
      </c>
      <c r="E86" s="39" t="n">
        <v>95000</v>
      </c>
      <c r="F86" s="39">
        <f>C86*E86</f>
        <v/>
      </c>
      <c r="G86" s="47" t="inlineStr">
        <is>
          <t>Aug 2026</t>
        </is>
      </c>
      <c r="H86" s="52" t="inlineStr">
        <is>
          <t>Low</t>
        </is>
      </c>
      <c r="I86" s="47" t="inlineStr">
        <is>
          <t>IT Vendor</t>
        </is>
      </c>
      <c r="J86" s="47" t="inlineStr">
        <is>
          <t>Evaluating</t>
        </is>
      </c>
      <c r="K86" s="47" t="inlineStr"/>
      <c r="L86" s="26" t="inlineStr"/>
      <c r="M86" s="26" t="inlineStr"/>
      <c r="N86" s="26" t="inlineStr"/>
      <c r="O86" s="26" t="inlineStr"/>
    </row>
    <row r="87">
      <c r="A87" s="12" t="inlineStr">
        <is>
          <t>Generator / UPS</t>
        </is>
      </c>
      <c r="B87" s="13" t="inlineStr">
        <is>
          <t>Power Backup</t>
        </is>
      </c>
      <c r="C87" s="16" t="n">
        <v>1</v>
      </c>
      <c r="D87" s="13" t="inlineStr">
        <is>
          <t>Unit</t>
        </is>
      </c>
      <c r="E87" s="15" t="n">
        <v>85000</v>
      </c>
      <c r="F87" s="15">
        <f>C87*E87</f>
        <v/>
      </c>
      <c r="G87" s="13" t="inlineStr">
        <is>
          <t>Aug 2026</t>
        </is>
      </c>
      <c r="H87" s="49" t="inlineStr">
        <is>
          <t>High</t>
        </is>
      </c>
      <c r="I87" s="13" t="inlineStr">
        <is>
          <t>Local Vendor</t>
        </is>
      </c>
      <c r="J87" s="13" t="inlineStr">
        <is>
          <t>Pending</t>
        </is>
      </c>
      <c r="K87" s="13" t="inlineStr"/>
      <c r="L87" s="26" t="inlineStr"/>
      <c r="M87" s="26" t="inlineStr"/>
      <c r="N87" s="26" t="inlineStr"/>
      <c r="O87" s="26" t="inlineStr"/>
    </row>
    <row r="88">
      <c r="A88" s="37" t="inlineStr">
        <is>
          <t>Sports / Activity Equipment</t>
        </is>
      </c>
      <c r="B88" s="47" t="inlineStr">
        <is>
          <t>Co-Curricular</t>
        </is>
      </c>
      <c r="C88" s="45" t="n">
        <v>1</v>
      </c>
      <c r="D88" s="47" t="inlineStr">
        <is>
          <t>Set</t>
        </is>
      </c>
      <c r="E88" s="39" t="n">
        <v>20000</v>
      </c>
      <c r="F88" s="39">
        <f>C88*E88</f>
        <v/>
      </c>
      <c r="G88" s="47" t="inlineStr">
        <is>
          <t>Sep 2026</t>
        </is>
      </c>
      <c r="H88" s="52" t="inlineStr">
        <is>
          <t>Low</t>
        </is>
      </c>
      <c r="I88" s="47" t="inlineStr">
        <is>
          <t>Sports Shop</t>
        </is>
      </c>
      <c r="J88" s="47" t="inlineStr">
        <is>
          <t>Planned</t>
        </is>
      </c>
      <c r="K88" s="47" t="inlineStr"/>
      <c r="L88" s="26" t="inlineStr"/>
      <c r="M88" s="26" t="inlineStr"/>
      <c r="N88" s="26" t="inlineStr"/>
      <c r="O88" s="26" t="inlineStr"/>
    </row>
    <row r="89">
      <c r="A89" s="41" t="inlineStr">
        <is>
          <t>TOTAL RESOURCE BUDGET (PKR)</t>
        </is>
      </c>
      <c r="F89" s="42">
        <f>SUM(F74:F88)</f>
        <v/>
      </c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</row>
    <row r="91" ht="24" customHeight="1">
      <c r="A91" s="35" t="inlineStr">
        <is>
          <t>SECTION F  ─  STAFF ROSTER &amp; MONTHLY SALARY REGISTER</t>
        </is>
      </c>
    </row>
    <row r="92" ht="28" customHeight="1">
      <c r="A92" s="36" t="inlineStr">
        <is>
          <t>Staff Name</t>
        </is>
      </c>
      <c r="B92" s="36" t="inlineStr">
        <is>
          <t>Designation</t>
        </is>
      </c>
      <c r="C92" s="36" t="inlineStr">
        <is>
          <t>Department</t>
        </is>
      </c>
      <c r="D92" s="36" t="inlineStr">
        <is>
          <t>Joining Date</t>
        </is>
      </c>
      <c r="E92" s="36" t="inlineStr">
        <is>
          <t>Basic Salary (PKR)</t>
        </is>
      </c>
      <c r="F92" s="36" t="inlineStr">
        <is>
          <t>Allowances (PKR)</t>
        </is>
      </c>
      <c r="G92" s="36" t="inlineStr">
        <is>
          <t>Deductions (PKR)</t>
        </is>
      </c>
      <c r="H92" s="36" t="inlineStr">
        <is>
          <t>Net Salary (PKR)</t>
        </is>
      </c>
      <c r="I92" s="36" t="inlineStr">
        <is>
          <t>Payment Status</t>
        </is>
      </c>
      <c r="J92" s="36" t="inlineStr">
        <is>
          <t>Notes</t>
        </is>
      </c>
    </row>
    <row r="93">
      <c r="A93" s="53" t="inlineStr">
        <is>
          <t>Ustadh / Hafiz [Name]</t>
        </is>
      </c>
      <c r="B93" s="47" t="inlineStr">
        <is>
          <t>Quran Teacher</t>
        </is>
      </c>
      <c r="C93" s="47" t="inlineStr">
        <is>
          <t>Hifz Dept.</t>
        </is>
      </c>
      <c r="D93" s="47" t="inlineStr"/>
      <c r="E93" s="39" t="n">
        <v>0</v>
      </c>
      <c r="F93" s="39" t="n">
        <v>0</v>
      </c>
      <c r="G93" s="39" t="n">
        <v>0</v>
      </c>
      <c r="H93" s="39">
        <f>E93+F93-G93</f>
        <v/>
      </c>
      <c r="I93" s="54" t="inlineStr">
        <is>
          <t>Pending</t>
        </is>
      </c>
      <c r="J93" s="47" t="inlineStr"/>
      <c r="K93" s="26" t="inlineStr"/>
      <c r="L93" s="26" t="inlineStr"/>
      <c r="M93" s="26" t="inlineStr"/>
      <c r="N93" s="26" t="inlineStr"/>
      <c r="O93" s="26" t="inlineStr"/>
    </row>
    <row r="94">
      <c r="A94" s="55" t="inlineStr">
        <is>
          <t>Ustadh / Hafiz [Name]</t>
        </is>
      </c>
      <c r="B94" s="13" t="inlineStr">
        <is>
          <t>Quran Teacher</t>
        </is>
      </c>
      <c r="C94" s="13" t="inlineStr">
        <is>
          <t>Nazra Dept.</t>
        </is>
      </c>
      <c r="D94" s="13" t="inlineStr"/>
      <c r="E94" s="15" t="n">
        <v>0</v>
      </c>
      <c r="F94" s="15" t="n">
        <v>0</v>
      </c>
      <c r="G94" s="15" t="n">
        <v>0</v>
      </c>
      <c r="H94" s="15">
        <f>E94+F94-G94</f>
        <v/>
      </c>
      <c r="I94" s="54" t="inlineStr">
        <is>
          <t>Pending</t>
        </is>
      </c>
      <c r="J94" s="13" t="inlineStr"/>
      <c r="K94" s="26" t="inlineStr"/>
      <c r="L94" s="26" t="inlineStr"/>
      <c r="M94" s="26" t="inlineStr"/>
      <c r="N94" s="26" t="inlineStr"/>
      <c r="O94" s="26" t="inlineStr"/>
    </row>
    <row r="95">
      <c r="A95" s="53" t="inlineStr">
        <is>
          <t>Ustadh / Hafiz [Name]</t>
        </is>
      </c>
      <c r="B95" s="47" t="inlineStr">
        <is>
          <t>Quran Teacher</t>
        </is>
      </c>
      <c r="C95" s="47" t="inlineStr">
        <is>
          <t>Hifz Dept.</t>
        </is>
      </c>
      <c r="D95" s="47" t="inlineStr"/>
      <c r="E95" s="39" t="n">
        <v>0</v>
      </c>
      <c r="F95" s="39" t="n">
        <v>0</v>
      </c>
      <c r="G95" s="39" t="n">
        <v>0</v>
      </c>
      <c r="H95" s="39">
        <f>E95+F95-G95</f>
        <v/>
      </c>
      <c r="I95" s="54" t="inlineStr">
        <is>
          <t>Pending</t>
        </is>
      </c>
      <c r="J95" s="47" t="inlineStr"/>
      <c r="K95" s="26" t="inlineStr"/>
      <c r="L95" s="26" t="inlineStr"/>
      <c r="M95" s="26" t="inlineStr"/>
      <c r="N95" s="26" t="inlineStr"/>
      <c r="O95" s="26" t="inlineStr"/>
    </row>
    <row r="96">
      <c r="A96" s="55" t="inlineStr">
        <is>
          <t>Teacher [Name]</t>
        </is>
      </c>
      <c r="B96" s="13" t="inlineStr">
        <is>
          <t>Academic Teacher</t>
        </is>
      </c>
      <c r="C96" s="13" t="inlineStr">
        <is>
          <t>General Studies</t>
        </is>
      </c>
      <c r="D96" s="13" t="inlineStr"/>
      <c r="E96" s="15" t="n">
        <v>0</v>
      </c>
      <c r="F96" s="15" t="n">
        <v>0</v>
      </c>
      <c r="G96" s="15" t="n">
        <v>0</v>
      </c>
      <c r="H96" s="15">
        <f>E96+F96-G96</f>
        <v/>
      </c>
      <c r="I96" s="54" t="inlineStr">
        <is>
          <t>Pending</t>
        </is>
      </c>
      <c r="J96" s="13" t="inlineStr"/>
      <c r="K96" s="26" t="inlineStr"/>
      <c r="L96" s="26" t="inlineStr"/>
      <c r="M96" s="26" t="inlineStr"/>
      <c r="N96" s="26" t="inlineStr"/>
      <c r="O96" s="26" t="inlineStr"/>
    </row>
    <row r="97">
      <c r="A97" s="53" t="inlineStr">
        <is>
          <t>Teacher [Name]</t>
        </is>
      </c>
      <c r="B97" s="47" t="inlineStr">
        <is>
          <t>Academic Teacher</t>
        </is>
      </c>
      <c r="C97" s="47" t="inlineStr">
        <is>
          <t>General Studies</t>
        </is>
      </c>
      <c r="D97" s="47" t="inlineStr"/>
      <c r="E97" s="39" t="n">
        <v>0</v>
      </c>
      <c r="F97" s="39" t="n">
        <v>0</v>
      </c>
      <c r="G97" s="39" t="n">
        <v>0</v>
      </c>
      <c r="H97" s="39">
        <f>E97+F97-G97</f>
        <v/>
      </c>
      <c r="I97" s="54" t="inlineStr">
        <is>
          <t>Pending</t>
        </is>
      </c>
      <c r="J97" s="47" t="inlineStr"/>
      <c r="K97" s="26" t="inlineStr"/>
      <c r="L97" s="26" t="inlineStr"/>
      <c r="M97" s="26" t="inlineStr"/>
      <c r="N97" s="26" t="inlineStr"/>
      <c r="O97" s="26" t="inlineStr"/>
    </row>
    <row r="98">
      <c r="A98" s="55" t="inlineStr">
        <is>
          <t>Admin [Name]</t>
        </is>
      </c>
      <c r="B98" s="13" t="inlineStr">
        <is>
          <t>Administrator</t>
        </is>
      </c>
      <c r="C98" s="13" t="inlineStr">
        <is>
          <t>Admin</t>
        </is>
      </c>
      <c r="D98" s="13" t="inlineStr"/>
      <c r="E98" s="15" t="n">
        <v>0</v>
      </c>
      <c r="F98" s="15" t="n">
        <v>0</v>
      </c>
      <c r="G98" s="15" t="n">
        <v>0</v>
      </c>
      <c r="H98" s="15">
        <f>E98+F98-G98</f>
        <v/>
      </c>
      <c r="I98" s="54" t="inlineStr">
        <is>
          <t>Pending</t>
        </is>
      </c>
      <c r="J98" s="13" t="inlineStr"/>
      <c r="K98" s="26" t="inlineStr"/>
      <c r="L98" s="26" t="inlineStr"/>
      <c r="M98" s="26" t="inlineStr"/>
      <c r="N98" s="26" t="inlineStr"/>
      <c r="O98" s="26" t="inlineStr"/>
    </row>
    <row r="99">
      <c r="A99" s="53" t="inlineStr">
        <is>
          <t>Receptionist [Name]</t>
        </is>
      </c>
      <c r="B99" s="47" t="inlineStr">
        <is>
          <t>Receptionist</t>
        </is>
      </c>
      <c r="C99" s="47" t="inlineStr">
        <is>
          <t>Admin</t>
        </is>
      </c>
      <c r="D99" s="47" t="inlineStr"/>
      <c r="E99" s="39" t="n">
        <v>0</v>
      </c>
      <c r="F99" s="39" t="n">
        <v>0</v>
      </c>
      <c r="G99" s="39" t="n">
        <v>0</v>
      </c>
      <c r="H99" s="39">
        <f>E99+F99-G99</f>
        <v/>
      </c>
      <c r="I99" s="54" t="inlineStr">
        <is>
          <t>Pending</t>
        </is>
      </c>
      <c r="J99" s="47" t="inlineStr"/>
      <c r="K99" s="26" t="inlineStr"/>
      <c r="L99" s="26" t="inlineStr"/>
      <c r="M99" s="26" t="inlineStr"/>
      <c r="N99" s="26" t="inlineStr"/>
      <c r="O99" s="26" t="inlineStr"/>
    </row>
    <row r="100">
      <c r="A100" s="55" t="inlineStr">
        <is>
          <t>Security Guard [Name]</t>
        </is>
      </c>
      <c r="B100" s="13" t="inlineStr">
        <is>
          <t>Security</t>
        </is>
      </c>
      <c r="C100" s="13" t="inlineStr">
        <is>
          <t>Support</t>
        </is>
      </c>
      <c r="D100" s="13" t="inlineStr"/>
      <c r="E100" s="15" t="n">
        <v>0</v>
      </c>
      <c r="F100" s="15" t="n">
        <v>0</v>
      </c>
      <c r="G100" s="15" t="n">
        <v>0</v>
      </c>
      <c r="H100" s="15">
        <f>E100+F100-G100</f>
        <v/>
      </c>
      <c r="I100" s="54" t="inlineStr">
        <is>
          <t>Pending</t>
        </is>
      </c>
      <c r="J100" s="13" t="inlineStr"/>
      <c r="K100" s="26" t="inlineStr"/>
      <c r="L100" s="26" t="inlineStr"/>
      <c r="M100" s="26" t="inlineStr"/>
      <c r="N100" s="26" t="inlineStr"/>
      <c r="O100" s="26" t="inlineStr"/>
    </row>
    <row r="101">
      <c r="A101" s="53" t="inlineStr">
        <is>
          <t>Peon / Cleaner [Name]</t>
        </is>
      </c>
      <c r="B101" s="47" t="inlineStr">
        <is>
          <t>Support Staff</t>
        </is>
      </c>
      <c r="C101" s="47" t="inlineStr">
        <is>
          <t>Support</t>
        </is>
      </c>
      <c r="D101" s="47" t="inlineStr"/>
      <c r="E101" s="39" t="n">
        <v>0</v>
      </c>
      <c r="F101" s="39" t="n">
        <v>0</v>
      </c>
      <c r="G101" s="39" t="n">
        <v>0</v>
      </c>
      <c r="H101" s="39">
        <f>E101+F101-G101</f>
        <v/>
      </c>
      <c r="I101" s="54" t="inlineStr">
        <is>
          <t>Pending</t>
        </is>
      </c>
      <c r="J101" s="47" t="inlineStr"/>
      <c r="K101" s="26" t="inlineStr"/>
      <c r="L101" s="26" t="inlineStr"/>
      <c r="M101" s="26" t="inlineStr"/>
      <c r="N101" s="26" t="inlineStr"/>
      <c r="O101" s="26" t="inlineStr"/>
    </row>
    <row r="102">
      <c r="A102" s="41" t="inlineStr">
        <is>
          <t>TOTAL MONTHLY PAYROLL</t>
        </is>
      </c>
      <c r="E102" s="42">
        <f>SUM(E93:E101)</f>
        <v/>
      </c>
      <c r="F102" s="42">
        <f>SUM(F93:F101)</f>
        <v/>
      </c>
      <c r="G102" s="42">
        <f>SUM(G93:G101)</f>
        <v/>
      </c>
      <c r="H102" s="42">
        <f>SUM(H93:H101)</f>
        <v/>
      </c>
      <c r="I102" s="48" t="n"/>
      <c r="J102" s="48" t="n"/>
    </row>
    <row r="104" ht="28" customHeight="1">
      <c r="A104" s="56" t="inlineStr">
        <is>
          <t>بسم الله الرحمن الرحيم  ·  May Allah bless this institution and all who serve it.  ·  Eqaaz Islamic Schooling System</t>
        </is>
      </c>
    </row>
  </sheetData>
  <mergeCells count="16">
    <mergeCell ref="A102:D102"/>
    <mergeCell ref="A38:B38"/>
    <mergeCell ref="A89:E89"/>
    <mergeCell ref="A2:O2"/>
    <mergeCell ref="A72:O72"/>
    <mergeCell ref="A104:O104"/>
    <mergeCell ref="A19:O19"/>
    <mergeCell ref="A37:B37"/>
    <mergeCell ref="A1:O1"/>
    <mergeCell ref="A5:O5"/>
    <mergeCell ref="A17:B17"/>
    <mergeCell ref="A70:B70"/>
    <mergeCell ref="A40:O40"/>
    <mergeCell ref="A56:O56"/>
    <mergeCell ref="A3:O3"/>
    <mergeCell ref="A91:O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2026-04-19T18:09:22Z</dcterms:created>
  <dcterms:modified xsi:type="dcterms:W3CDTF">2026-04-19T18:09:22Z</dcterms:modified>
</cp:coreProperties>
</file>